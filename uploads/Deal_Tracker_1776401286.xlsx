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69A7B597-4ABB-4EFB-BAE5-4D9E6838A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 tracker" sheetId="1" r:id="rId1"/>
  </sheets>
  <definedNames>
    <definedName name="_xlnm._FilterDatabase" localSheetId="0" hidden="1">'deal tracker'!$A$1:$AY$282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" i="1" l="1"/>
  <c r="M86" i="1" s="1"/>
  <c r="L85" i="1"/>
  <c r="M85" i="1" s="1"/>
  <c r="L84" i="1"/>
  <c r="M84" i="1" s="1"/>
  <c r="L83" i="1"/>
  <c r="M83" i="1" s="1"/>
  <c r="L82" i="1"/>
  <c r="M82" i="1" s="1"/>
  <c r="L81" i="1"/>
  <c r="M81" i="1" s="1"/>
  <c r="L80" i="1"/>
  <c r="L79" i="1"/>
  <c r="M79" i="1" s="1"/>
  <c r="L78" i="1"/>
  <c r="L77" i="1"/>
  <c r="M77" i="1" s="1"/>
  <c r="L76" i="1"/>
  <c r="M76" i="1" s="1"/>
  <c r="L75" i="1"/>
  <c r="M75" i="1" s="1"/>
  <c r="L73" i="1"/>
  <c r="M73" i="1" s="1"/>
  <c r="L72" i="1"/>
  <c r="M72" i="1" s="1"/>
  <c r="L71" i="1"/>
  <c r="M71" i="1" s="1"/>
  <c r="L69" i="1"/>
  <c r="M69" i="1" s="1"/>
  <c r="L67" i="1"/>
  <c r="M67" i="1" s="1"/>
  <c r="L66" i="1"/>
  <c r="M66" i="1" s="1"/>
  <c r="L65" i="1"/>
  <c r="M65" i="1" s="1"/>
  <c r="L64" i="1"/>
  <c r="M64" i="1" s="1"/>
  <c r="L62" i="1"/>
  <c r="M62" i="1" s="1"/>
  <c r="L61" i="1"/>
  <c r="M61" i="1" s="1"/>
  <c r="L60" i="1"/>
  <c r="M60" i="1" s="1"/>
  <c r="L59" i="1"/>
  <c r="M59" i="1" s="1"/>
  <c r="L58" i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3" i="1"/>
  <c r="M3" i="1" s="1"/>
  <c r="M6" i="1"/>
  <c r="M11" i="1"/>
  <c r="M23" i="1"/>
  <c r="M58" i="1"/>
  <c r="M63" i="1"/>
  <c r="M68" i="1"/>
  <c r="M70" i="1"/>
  <c r="M74" i="1"/>
  <c r="M78" i="1"/>
  <c r="M80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" i="1"/>
</calcChain>
</file>

<file path=xl/sharedStrings.xml><?xml version="1.0" encoding="utf-8"?>
<sst xmlns="http://schemas.openxmlformats.org/spreadsheetml/2006/main" count="11149" uniqueCount="491">
  <si>
    <t>Discovery</t>
  </si>
  <si>
    <t>Name</t>
  </si>
  <si>
    <t>State</t>
  </si>
  <si>
    <t>Country</t>
  </si>
  <si>
    <t>Owner</t>
  </si>
  <si>
    <t>Accountability</t>
  </si>
  <si>
    <t>Stategic Importance</t>
  </si>
  <si>
    <t>Deal creation date</t>
  </si>
  <si>
    <t>Deal Value</t>
  </si>
  <si>
    <t>Currency</t>
  </si>
  <si>
    <t>Close Date</t>
  </si>
  <si>
    <t>Proposal</t>
  </si>
  <si>
    <t>Project Start Month</t>
  </si>
  <si>
    <t>Project Start Year</t>
  </si>
  <si>
    <t>Project Duration (months)</t>
  </si>
  <si>
    <t>Jan Y1</t>
  </si>
  <si>
    <t>Feb Y1</t>
  </si>
  <si>
    <t>Mar Y1</t>
  </si>
  <si>
    <t>Apr Y1</t>
  </si>
  <si>
    <t>May Y1</t>
  </si>
  <si>
    <t>Jun Y1</t>
  </si>
  <si>
    <t>Jul Y1</t>
  </si>
  <si>
    <t>Aug Y1</t>
  </si>
  <si>
    <t>Sep Y1</t>
  </si>
  <si>
    <t>Oct Y1</t>
  </si>
  <si>
    <t>Nov Y1</t>
  </si>
  <si>
    <t>Dec Y1</t>
  </si>
  <si>
    <t>Forecast Total Year 1</t>
  </si>
  <si>
    <t>Jan Y2</t>
  </si>
  <si>
    <t>Feb Y2</t>
  </si>
  <si>
    <t>Mar Y2</t>
  </si>
  <si>
    <t>Apr Y2</t>
  </si>
  <si>
    <t>May Y2</t>
  </si>
  <si>
    <t>Jun Y2</t>
  </si>
  <si>
    <t>Jul Y2</t>
  </si>
  <si>
    <t>Aug Y2</t>
  </si>
  <si>
    <t>Sep  Y2</t>
  </si>
  <si>
    <t>Oct Y2</t>
  </si>
  <si>
    <t>Nov Y2</t>
  </si>
  <si>
    <t>Dec Y2</t>
  </si>
  <si>
    <t>Forecast Total Year 2</t>
  </si>
  <si>
    <t>Project Summary</t>
  </si>
  <si>
    <t>Value Per Month</t>
  </si>
  <si>
    <t>Estimated Start Date</t>
  </si>
  <si>
    <t>Estimated End Date</t>
  </si>
  <si>
    <t>Status</t>
  </si>
  <si>
    <t>Deal Sheet (Draft)</t>
  </si>
  <si>
    <t>Auto number</t>
  </si>
  <si>
    <t>Infra Project Manager</t>
  </si>
  <si>
    <t/>
  </si>
  <si>
    <t>Thailand</t>
  </si>
  <si>
    <t>Nipon Assanuk</t>
  </si>
  <si>
    <t>Pandora Production Thailand</t>
  </si>
  <si>
    <t>THB</t>
  </si>
  <si>
    <t>Archer Meat Snacks</t>
  </si>
  <si>
    <t>United States</t>
  </si>
  <si>
    <t>Sean Whitehead</t>
  </si>
  <si>
    <t>USD</t>
  </si>
  <si>
    <t>HoneyLove</t>
  </si>
  <si>
    <t>Honey Love</t>
  </si>
  <si>
    <t>Windsor Fashion</t>
  </si>
  <si>
    <t>MadeIn</t>
  </si>
  <si>
    <t>Milk &amp; Honey</t>
  </si>
  <si>
    <t>Milke &amp; Honey</t>
  </si>
  <si>
    <t>Indochino</t>
  </si>
  <si>
    <t>Luchesse</t>
  </si>
  <si>
    <t>NTT Data Collab</t>
  </si>
  <si>
    <t>Philippines</t>
  </si>
  <si>
    <t>Allan Aniversario</t>
  </si>
  <si>
    <t>NTT Data Philippines</t>
  </si>
  <si>
    <t>Medium</t>
  </si>
  <si>
    <t>RAFI MFI - Digital Transformation</t>
  </si>
  <si>
    <t>RAFI Microfinance, Inc.</t>
  </si>
  <si>
    <t>Kendra Scott</t>
  </si>
  <si>
    <t>Tecovas</t>
  </si>
  <si>
    <t>Maxima - DM</t>
  </si>
  <si>
    <t>Maxima Machineries Inc.</t>
  </si>
  <si>
    <t>SM Retail PH - Consulting</t>
  </si>
  <si>
    <t>SM Retail</t>
  </si>
  <si>
    <t>PHP</t>
  </si>
  <si>
    <t>Alfamart PH - Consulting</t>
  </si>
  <si>
    <t>Alfamart Philippines</t>
  </si>
  <si>
    <t>PT Group F&amp;R</t>
  </si>
  <si>
    <t>Paul Howe</t>
  </si>
  <si>
    <t>PT Group</t>
  </si>
  <si>
    <t>Este Lauder eComm Replatform RFP</t>
  </si>
  <si>
    <t>Este Lauder</t>
  </si>
  <si>
    <t>True Classic ERP</t>
  </si>
  <si>
    <t>True Classic</t>
  </si>
  <si>
    <t>UBC Tech Takeover</t>
  </si>
  <si>
    <t>UBC</t>
  </si>
  <si>
    <t>Eyah Ballada</t>
  </si>
  <si>
    <t>Infobip</t>
  </si>
  <si>
    <t>Parker Avery - Centric, Toolio</t>
  </si>
  <si>
    <t>Brad Kliegl</t>
  </si>
  <si>
    <t>Apr</t>
  </si>
  <si>
    <t>AS Watson Europe</t>
  </si>
  <si>
    <t>AS Watson (Philippines)</t>
  </si>
  <si>
    <t>Mattress Firm</t>
  </si>
  <si>
    <t>Coles Liquor ext - Elliot (June 26 - Dec 26)</t>
  </si>
  <si>
    <t>Coles Liquor</t>
  </si>
  <si>
    <t>Australia</t>
  </si>
  <si>
    <t>Clint Rowbotham</t>
  </si>
  <si>
    <t>AUD</t>
  </si>
  <si>
    <t>Coles Liquor ext - Clint (June 26 - Dec 26)</t>
  </si>
  <si>
    <t>Coates</t>
  </si>
  <si>
    <t>Matt Darby</t>
  </si>
  <si>
    <t>Pet Barn</t>
  </si>
  <si>
    <t>Oracle Consulting - Netsuite PM</t>
  </si>
  <si>
    <t>Thai Union QA - Web Base Costing</t>
  </si>
  <si>
    <t>Chakarin Jiaranaipanich</t>
  </si>
  <si>
    <t>Thai Union</t>
  </si>
  <si>
    <t>Dubai</t>
  </si>
  <si>
    <t>House of Branded lifestyle</t>
  </si>
  <si>
    <t>House of Branded Lifestyle</t>
  </si>
  <si>
    <t>TCP - Op change model</t>
  </si>
  <si>
    <t>DFI Indonesia</t>
  </si>
  <si>
    <t>Matahari</t>
  </si>
  <si>
    <t>Seven.sa</t>
  </si>
  <si>
    <t>@Group</t>
  </si>
  <si>
    <t>Homesteaders AI</t>
  </si>
  <si>
    <t>Joshua Anderson</t>
  </si>
  <si>
    <t>O'Brien SC Transformation</t>
  </si>
  <si>
    <t>O'Brien</t>
  </si>
  <si>
    <t>Beauty Network</t>
  </si>
  <si>
    <t>The Beauty Network</t>
  </si>
  <si>
    <t>Coles Liquor ext - Don (July 26 - Dec 26)</t>
  </si>
  <si>
    <t>ShopLC</t>
  </si>
  <si>
    <t>Yeti</t>
  </si>
  <si>
    <t>YETI</t>
  </si>
  <si>
    <t>Coles Integrated Business Strategy</t>
  </si>
  <si>
    <t>Coles</t>
  </si>
  <si>
    <t>Mgmt – Accountable</t>
  </si>
  <si>
    <t>High</t>
  </si>
  <si>
    <t>Coles International Relex Implementation</t>
  </si>
  <si>
    <t>Mgmt – Advisory</t>
  </si>
  <si>
    <t>Myer Oracle Retail Strategy</t>
  </si>
  <si>
    <t>Myer</t>
  </si>
  <si>
    <t>Myer Engineering Support</t>
  </si>
  <si>
    <t>Lovisa Planning Change Mgmt</t>
  </si>
  <si>
    <t>Lovisa</t>
  </si>
  <si>
    <t>Staff Aug – Limited</t>
  </si>
  <si>
    <t>Wes Health ERP Implementation Support</t>
  </si>
  <si>
    <t>Wesfarmers Health</t>
  </si>
  <si>
    <t>SRG Transformation Support</t>
  </si>
  <si>
    <t>Super Retail Group</t>
  </si>
  <si>
    <t>Aus Post BI Support</t>
  </si>
  <si>
    <t>Australia Post</t>
  </si>
  <si>
    <t>Brandbank Planning RFP</t>
  </si>
  <si>
    <t>Brandbank</t>
  </si>
  <si>
    <t>JD Sports</t>
  </si>
  <si>
    <t>MEG Engineering Support</t>
  </si>
  <si>
    <t>McMillan Engineering Group</t>
  </si>
  <si>
    <t>GPC USA</t>
  </si>
  <si>
    <t>Heritage Grocer Group</t>
  </si>
  <si>
    <t>Alix Partnership</t>
  </si>
  <si>
    <t>Oracle Consulting - VA Canteen</t>
  </si>
  <si>
    <t>Oracle Consulting - Sherwin Williams</t>
  </si>
  <si>
    <t>IMT- IT Modernization</t>
  </si>
  <si>
    <t>Spanx ERP consult</t>
  </si>
  <si>
    <t>Spanx</t>
  </si>
  <si>
    <t>Ruan Fleet Management Integration/BI</t>
  </si>
  <si>
    <t>Ruan</t>
  </si>
  <si>
    <t>Jun</t>
  </si>
  <si>
    <t>2026</t>
  </si>
  <si>
    <t>Ruan TMS Cloud Migration Assistance</t>
  </si>
  <si>
    <t>LesSchwab</t>
  </si>
  <si>
    <t>Qualified</t>
  </si>
  <si>
    <t>TCC Group</t>
  </si>
  <si>
    <t>King Living</t>
  </si>
  <si>
    <t>Oxford - Operating Model Advisory</t>
  </si>
  <si>
    <t>Oxford</t>
  </si>
  <si>
    <t>Jan</t>
  </si>
  <si>
    <t>RAFI PH - SPM (Planview)</t>
  </si>
  <si>
    <t>Ramon Aboitiz Foundation Inc.</t>
  </si>
  <si>
    <t>Caseys - POS Program Mgmt</t>
  </si>
  <si>
    <t>Caseys</t>
  </si>
  <si>
    <t>May</t>
  </si>
  <si>
    <t>Mall Group - POS</t>
  </si>
  <si>
    <t>GPC Prog Mgmt for Tech</t>
  </si>
  <si>
    <t>GPC</t>
  </si>
  <si>
    <t>Adairs RFID Support</t>
  </si>
  <si>
    <t>Adairs</t>
  </si>
  <si>
    <t>RetailConsult - BA</t>
  </si>
  <si>
    <t>RetailConsult</t>
  </si>
  <si>
    <t>Satra</t>
  </si>
  <si>
    <t>Big C - Pricing &amp; Promotion</t>
  </si>
  <si>
    <t>BJC PCL</t>
  </si>
  <si>
    <t>Brand Collective Planning Implementation</t>
  </si>
  <si>
    <t>Brand Collective</t>
  </si>
  <si>
    <t>RAFI MFI Tech Assessment</t>
  </si>
  <si>
    <t>Negotiation</t>
  </si>
  <si>
    <t>Big C - Customer and Data Consolidation</t>
  </si>
  <si>
    <t>Big C - Automate Workflow PMO</t>
  </si>
  <si>
    <t>Big C - Pricing and Promotion</t>
  </si>
  <si>
    <t>Big C Program Management - 2026</t>
  </si>
  <si>
    <t>Big C Supplier Portal Phase 2</t>
  </si>
  <si>
    <t>Big C - Assortment &amp; Space Range</t>
  </si>
  <si>
    <t>Big C - Forecasting &amp; Replenishment</t>
  </si>
  <si>
    <t>Big C ERP Lift &amp; Shift</t>
  </si>
  <si>
    <t>GPC Replatform Prog Mgmt</t>
  </si>
  <si>
    <t>GPC Finance Business Partner</t>
  </si>
  <si>
    <t>Love Always - Product Strat Post-MVP</t>
  </si>
  <si>
    <t>Homesteaders</t>
  </si>
  <si>
    <t>Mar</t>
  </si>
  <si>
    <t>Won</t>
  </si>
  <si>
    <t>Book Better</t>
  </si>
  <si>
    <t>Nimbus Consulting</t>
  </si>
  <si>
    <t>2023</t>
  </si>
  <si>
    <t>Greiman Construction Monday.com</t>
  </si>
  <si>
    <t>Greiman Construction</t>
  </si>
  <si>
    <t>Novel IT Strategy</t>
  </si>
  <si>
    <t>Novel Energy Solutions</t>
  </si>
  <si>
    <t>Oxford IT Strategy</t>
  </si>
  <si>
    <t>2024</t>
  </si>
  <si>
    <t>Greiman Construction BPO</t>
  </si>
  <si>
    <t>20Twenty Design monday.com</t>
  </si>
  <si>
    <t>20Twenty</t>
  </si>
  <si>
    <t>20Twenty Design Monday.com</t>
  </si>
  <si>
    <t>Oxford Strategy Phase 2</t>
  </si>
  <si>
    <t>Lilly Pulitzer IT Roadmap</t>
  </si>
  <si>
    <t>Lilly Pulitzer IT Op Model</t>
  </si>
  <si>
    <t>Lilly Pulitzer - Planning RFP</t>
  </si>
  <si>
    <t>Lilly Pulitzer</t>
  </si>
  <si>
    <t>Lilly Pulitzer &amp; Oxford Brands - ERP Discovery</t>
  </si>
  <si>
    <t>Lilly Pulitzer - Bridge Contract 2024</t>
  </si>
  <si>
    <t>Fracture - Platform Strategic Advisory</t>
  </si>
  <si>
    <t>Fracture</t>
  </si>
  <si>
    <t>Johnny Was Enterprise Assessment - Advisory</t>
  </si>
  <si>
    <t>Johnny Was</t>
  </si>
  <si>
    <t>Lilly Pulitzer - Planning RFP Extension #1</t>
  </si>
  <si>
    <t>Best Buy - Wipro Strategy (SL)</t>
  </si>
  <si>
    <t>Best Buy</t>
  </si>
  <si>
    <t>Lilly Pulitzer - Planning RFP Extension #1 - Add1</t>
  </si>
  <si>
    <t>Oxford Advisory - Retainer</t>
  </si>
  <si>
    <t>Best Buy - Wipro Strategy (SL) - ext</t>
  </si>
  <si>
    <t>Oxford - ERP RFP</t>
  </si>
  <si>
    <t>Lilly Pulitzer - MFP Implementation</t>
  </si>
  <si>
    <t>Oxford - Data Project Contract Part 1</t>
  </si>
  <si>
    <t>2025</t>
  </si>
  <si>
    <t>Oxford - Data Project Contract Part 1 &amp; 2</t>
  </si>
  <si>
    <t>Oxford Advisory - Josh Jan to Mar</t>
  </si>
  <si>
    <t>Telstra PM</t>
  </si>
  <si>
    <t>Telstra</t>
  </si>
  <si>
    <t>Coles Liquor - Programme Mgmt (Clint)</t>
  </si>
  <si>
    <t>Coles Liquor - Project Management</t>
  </si>
  <si>
    <t>SingPost Tech Strategy</t>
  </si>
  <si>
    <t>TMX</t>
  </si>
  <si>
    <t>SGD</t>
  </si>
  <si>
    <t>Lovisa Merch Architecture</t>
  </si>
  <si>
    <t>Deleted member</t>
  </si>
  <si>
    <t>Coles Liquor Digital (Elliot)</t>
  </si>
  <si>
    <t>Coles Liquor Programme Management ext (Clint)</t>
  </si>
  <si>
    <t>Lovisa ext - Planning &amp; ERP RFP</t>
  </si>
  <si>
    <t>Coles Liquor - Tech PM (Humera)</t>
  </si>
  <si>
    <t>Lovisa - RFP Advisory</t>
  </si>
  <si>
    <t>Coles Liquor Programme Management extension (Clint)</t>
  </si>
  <si>
    <t>Coles Liquor Digital extension (Elliot)</t>
  </si>
  <si>
    <t>Lovisa - Business Analysis</t>
  </si>
  <si>
    <t>Lovisa RFID Advisory</t>
  </si>
  <si>
    <t>Milligram Wholesale Business Review</t>
  </si>
  <si>
    <t>Milligram</t>
  </si>
  <si>
    <t>Coles Liquor - Apollo Programme Manager (Matt)</t>
  </si>
  <si>
    <t>Coles Liquor - Apollo Phase 2 Merchandise &amp; Finance Programme</t>
  </si>
  <si>
    <t>Coles Liquor - Tech PM (Don)</t>
  </si>
  <si>
    <t>Coles Liquor - Tech PM ext - (Humera March - Nov 2025)</t>
  </si>
  <si>
    <t>Coles Liquor ext - Clint (Jun - Nov 2025)</t>
  </si>
  <si>
    <t>Coles Liquor ext - Elliot (Jun - Nov 2025)</t>
  </si>
  <si>
    <t>Apollo Programme Manager - extension</t>
  </si>
  <si>
    <t>Big C EA Audit</t>
  </si>
  <si>
    <t>Apollo Phase 2 Merchandise &amp; Finance Programme</t>
  </si>
  <si>
    <t>Jul</t>
  </si>
  <si>
    <t>Home Steaders - Love Always Phase 1</t>
  </si>
  <si>
    <t>Coles - Atlantis Programme Int'l Replenishment</t>
  </si>
  <si>
    <t>Milligram Wholesale Business Phase 2</t>
  </si>
  <si>
    <t>GPC - Digital Transformation Support</t>
  </si>
  <si>
    <t>Aug</t>
  </si>
  <si>
    <t>Home Steaders - Love Always Phase 2</t>
  </si>
  <si>
    <t>Home Steaders - Love Always - System Eval</t>
  </si>
  <si>
    <t>Sep</t>
  </si>
  <si>
    <t>Accelerant - WS Audiology</t>
  </si>
  <si>
    <t>Accelerant</t>
  </si>
  <si>
    <t>Home Steaders - Love Always - Phase 3</t>
  </si>
  <si>
    <t>Big C Program Management</t>
  </si>
  <si>
    <t>Big C Supplier Portal Phase 1</t>
  </si>
  <si>
    <t>Fracture - Fractional CTO</t>
  </si>
  <si>
    <t>Nov</t>
  </si>
  <si>
    <t>Coles Liquor ext - Elliot (Nov 2025 - Jun 2026)</t>
  </si>
  <si>
    <t>Coles Liquor ext - Clint (Nov 2025 - Jun 2026)</t>
  </si>
  <si>
    <t>Johnny Was Strategy</t>
  </si>
  <si>
    <t>Coles Liquor - Tech PM ext - (Humera Nov 2025 - Feb 2026)</t>
  </si>
  <si>
    <t>Dec</t>
  </si>
  <si>
    <t>Coles Liquor ext - Tech PM (Don) (Nov 2025 - Feb 2026</t>
  </si>
  <si>
    <t>Lovisa - Business Analysis Extension</t>
  </si>
  <si>
    <t>Love Always SOW#3 - addendum</t>
  </si>
  <si>
    <t>Chad Boileau</t>
  </si>
  <si>
    <t>MartinPatrick3 - Transformation Advisory</t>
  </si>
  <si>
    <t>MartinPatrick3</t>
  </si>
  <si>
    <t>Love Always SOW#4 Support</t>
  </si>
  <si>
    <t>Feb</t>
  </si>
  <si>
    <t>McMillan Engineering Group (MEG) - Digital</t>
  </si>
  <si>
    <t>SRS Distribution - GMS consolidation</t>
  </si>
  <si>
    <t>SRS Distribution</t>
  </si>
  <si>
    <t>Blue Yonder x RRHI (Robinsons Retail Holdings Inc)</t>
  </si>
  <si>
    <t>Blue Yonder</t>
  </si>
  <si>
    <t>Lovisa - Data Engineer</t>
  </si>
  <si>
    <t>GPC - PM Special Project</t>
  </si>
  <si>
    <t>Coles Liquor ext - Don (Feb 26 - Jul 26)</t>
  </si>
  <si>
    <t>Myer - Marketplace Replatform</t>
  </si>
  <si>
    <t>SRS/GMS - Project Planning</t>
  </si>
  <si>
    <t>Fracture UX Contract</t>
  </si>
  <si>
    <t>SRS Infrastructure Assessment &amp; Advisory</t>
  </si>
  <si>
    <t>LAP - Finance SME</t>
  </si>
  <si>
    <t>Lovisa Delivery Lead</t>
  </si>
  <si>
    <t>SRS M&amp;A</t>
  </si>
  <si>
    <t>Sigma Patient Framework</t>
  </si>
  <si>
    <t>Sigma</t>
  </si>
  <si>
    <t>Adairs Planning RFP</t>
  </si>
  <si>
    <t>GMS - Program and Change Management</t>
  </si>
  <si>
    <t>Alen Air purifier</t>
  </si>
  <si>
    <t>Alen</t>
  </si>
  <si>
    <t>Phase 2 &amp; 3 Oracle Retail</t>
  </si>
  <si>
    <t>Lost</t>
  </si>
  <si>
    <t>Abercrombie &amp; Fitch</t>
  </si>
  <si>
    <t>Dollar Tree Staff Aug</t>
  </si>
  <si>
    <t>Dollar Trees Stores</t>
  </si>
  <si>
    <t>Marketing/AI</t>
  </si>
  <si>
    <t>Harris Abel</t>
  </si>
  <si>
    <t>Americas Wellness Group</t>
  </si>
  <si>
    <t>Vexan Monday CRM/Dig</t>
  </si>
  <si>
    <t>Vexan Fishing</t>
  </si>
  <si>
    <t>Lilly Pulitzer - Digital Functional Role</t>
  </si>
  <si>
    <t>Oxford - Integration Staffing</t>
  </si>
  <si>
    <t>GIII Tech Leadership &amp; Advisory</t>
  </si>
  <si>
    <t>AM Retail Group</t>
  </si>
  <si>
    <t>Job Lots</t>
  </si>
  <si>
    <t>Cancelled</t>
  </si>
  <si>
    <t>Ocean State Job Lot</t>
  </si>
  <si>
    <t>Makro Inventory Planning</t>
  </si>
  <si>
    <t>Makro</t>
  </si>
  <si>
    <t>Makro IT</t>
  </si>
  <si>
    <t>Monday Columbia Sportswear</t>
  </si>
  <si>
    <t>Columbia Sportswear</t>
  </si>
  <si>
    <t>Crate and Barrel - TMS</t>
  </si>
  <si>
    <t>Crate &amp; Barrel</t>
  </si>
  <si>
    <t>Lilly Pulitzer - PIM Implementation</t>
  </si>
  <si>
    <t>Red River Commodities</t>
  </si>
  <si>
    <t>Rural King - EA</t>
  </si>
  <si>
    <t>CMG</t>
  </si>
  <si>
    <t>Levis - RFID</t>
  </si>
  <si>
    <t>Levi Strauss</t>
  </si>
  <si>
    <t>ROSS</t>
  </si>
  <si>
    <t>Perry Ellis</t>
  </si>
  <si>
    <t>Maurices - TBD 2025</t>
  </si>
  <si>
    <t>Maurices</t>
  </si>
  <si>
    <t>Ahold Int'l</t>
  </si>
  <si>
    <t>Oxford ERP RFP - Bridge</t>
  </si>
  <si>
    <t>BK Beauty</t>
  </si>
  <si>
    <t>Premier Needle Arts</t>
  </si>
  <si>
    <t>Oxford Data Model Part 2</t>
  </si>
  <si>
    <t>Lilly Pulitzer - BPO</t>
  </si>
  <si>
    <t>Fracture - MES Implementation</t>
  </si>
  <si>
    <t>Fracture - MES RFP</t>
  </si>
  <si>
    <t>Fracture - Integration</t>
  </si>
  <si>
    <t>Fracture Support</t>
  </si>
  <si>
    <t>RACQ @ GT</t>
  </si>
  <si>
    <t>Grant Thorton</t>
  </si>
  <si>
    <t>Coles Liquor - WET tax - Bus PM</t>
  </si>
  <si>
    <t>Coles Liquor - store onboarding - bus PM</t>
  </si>
  <si>
    <t>Bapcor Catman Strategy</t>
  </si>
  <si>
    <t>Bapcore</t>
  </si>
  <si>
    <t>Catch.com.au BAs</t>
  </si>
  <si>
    <t>Catch.com</t>
  </si>
  <si>
    <t>Brand Collective - Senior Planning BA</t>
  </si>
  <si>
    <t>Catch Data Engineers</t>
  </si>
  <si>
    <t>Lovisa Test Lead</t>
  </si>
  <si>
    <t>Coles ERP (SAP) - 3</t>
  </si>
  <si>
    <t>Lovisa RFP EA</t>
  </si>
  <si>
    <t>GPC Manhatten Test Lead</t>
  </si>
  <si>
    <t>O'Briens BA</t>
  </si>
  <si>
    <t>Coles Liquor ERP (SAP) - 2</t>
  </si>
  <si>
    <t>Coles HR upgrade</t>
  </si>
  <si>
    <t>Coles AI</t>
  </si>
  <si>
    <t>GPC - Advanced Planning tech PM</t>
  </si>
  <si>
    <t>GPC - Advanced Planning Sol Arch</t>
  </si>
  <si>
    <t>GPC - Advanced Planning Test Lead</t>
  </si>
  <si>
    <t>IKEA</t>
  </si>
  <si>
    <t>Reverses Logistics</t>
  </si>
  <si>
    <t>Elephant House</t>
  </si>
  <si>
    <t>Visum Ventures</t>
  </si>
  <si>
    <t>Digital Transformation Advisory</t>
  </si>
  <si>
    <t>Vaceller Supermarket</t>
  </si>
  <si>
    <t>Union Inks - AI Visual Prototyping</t>
  </si>
  <si>
    <t>Union Inks &amp; Graphic</t>
  </si>
  <si>
    <t>Lovisa Finance BA</t>
  </si>
  <si>
    <t>Coles Liquor ERP (SAP) - 1</t>
  </si>
  <si>
    <t>Paneco</t>
  </si>
  <si>
    <t>Coles - Sustainability Program Mgr</t>
  </si>
  <si>
    <t>Olivia App</t>
  </si>
  <si>
    <t>Mecca - ERP Assessment</t>
  </si>
  <si>
    <t>Mecca</t>
  </si>
  <si>
    <t>Sunnies Studios</t>
  </si>
  <si>
    <t>UR Asia</t>
  </si>
  <si>
    <t>Coles Tech BA (Coles ID)</t>
  </si>
  <si>
    <t>Coles Tech PM (Coles ID)</t>
  </si>
  <si>
    <t>CRG MFP Review and improvements</t>
  </si>
  <si>
    <t>Country Road Group</t>
  </si>
  <si>
    <t>Central Thailand - Forecast &amp; Replenishment Grocery and Wholesale</t>
  </si>
  <si>
    <t>Central Thailand</t>
  </si>
  <si>
    <t>Catch.com.au</t>
  </si>
  <si>
    <t>The Good Guys - Merch</t>
  </si>
  <si>
    <t>The Good Guys</t>
  </si>
  <si>
    <t>Metro (MRSGI) Ecom</t>
  </si>
  <si>
    <t>Metro Retail (MRSGI)</t>
  </si>
  <si>
    <t>Lovisa Loyalty RFP</t>
  </si>
  <si>
    <t>CPAxtra - Makro</t>
  </si>
  <si>
    <t>CPAxtra</t>
  </si>
  <si>
    <t>Beauty Network - SC Operations Review</t>
  </si>
  <si>
    <t>Coles Development (Order Mgmt UI)</t>
  </si>
  <si>
    <t>SingPost Arch, Int, Data, Infra</t>
  </si>
  <si>
    <t>SingPost</t>
  </si>
  <si>
    <t>Crocs Singapore</t>
  </si>
  <si>
    <t>Dan Murphys Digital</t>
  </si>
  <si>
    <t>Dan Murphys</t>
  </si>
  <si>
    <t>Oxford - P&amp;L Review</t>
  </si>
  <si>
    <t>Bluemercury</t>
  </si>
  <si>
    <t>Oxford - Josh extension</t>
  </si>
  <si>
    <t>Lilly Pulitzer - ERP Implementation (staff aug)</t>
  </si>
  <si>
    <t>Central Retail Thailand - EA Audit</t>
  </si>
  <si>
    <t>AS Watson AI Enablement</t>
  </si>
  <si>
    <t>Lilly Pulitzer - AP Implementation</t>
  </si>
  <si>
    <t>Lilly Pulitzer - AP BA</t>
  </si>
  <si>
    <t>AusPost (BI)</t>
  </si>
  <si>
    <t>AusPost</t>
  </si>
  <si>
    <t>Lovisa - AI Enablement</t>
  </si>
  <si>
    <t>Lovisa - Advisory Ext</t>
  </si>
  <si>
    <t>Hot Topic</t>
  </si>
  <si>
    <t>Boots Supplier Portal</t>
  </si>
  <si>
    <t>Boots</t>
  </si>
  <si>
    <t>Right Roofing - Custom CRM</t>
  </si>
  <si>
    <t>Oct</t>
  </si>
  <si>
    <t>Myer - Loyalty Stream Lead</t>
  </si>
  <si>
    <t>Myer - Head Of Customer Transformation</t>
  </si>
  <si>
    <t>Vallarta Supermarkets - AI Enablement</t>
  </si>
  <si>
    <t>Vallarta Supermarkets</t>
  </si>
  <si>
    <t>Sun Home Sauna ERP Implementation</t>
  </si>
  <si>
    <t>Sun Home Sauna</t>
  </si>
  <si>
    <t>LoveSac Digital Audit</t>
  </si>
  <si>
    <t>LoveSac</t>
  </si>
  <si>
    <t>Maison Group Vietnam</t>
  </si>
  <si>
    <t>Bunnings Last Mile</t>
  </si>
  <si>
    <t>Bunnings</t>
  </si>
  <si>
    <t>DJs TBD</t>
  </si>
  <si>
    <t>David Jones</t>
  </si>
  <si>
    <t>AIS Thai Telco - migration from Azure to Oracle Cloud</t>
  </si>
  <si>
    <t>Mecca - ERP RFP</t>
  </si>
  <si>
    <t>Linfox</t>
  </si>
  <si>
    <t>Manhattan</t>
  </si>
  <si>
    <t>Manhatten</t>
  </si>
  <si>
    <t>UACL - TMS upgrade</t>
  </si>
  <si>
    <t>UACL</t>
  </si>
  <si>
    <t>Louis Vuiton - USA</t>
  </si>
  <si>
    <t>Louis Vuitton</t>
  </si>
  <si>
    <t>Impact Analytics</t>
  </si>
  <si>
    <t>Bath and Body Works</t>
  </si>
  <si>
    <t>CRG Roadmap</t>
  </si>
  <si>
    <t>Paspaley - EA for ERP and POS</t>
  </si>
  <si>
    <t>Paspaley</t>
  </si>
  <si>
    <t>UACL - TMS RFP Advisory and Process Mapping</t>
  </si>
  <si>
    <t>BankVista AI Enablement</t>
  </si>
  <si>
    <t>Account</t>
  </si>
  <si>
    <t>Full Ownership</t>
  </si>
  <si>
    <t>Critical</t>
  </si>
  <si>
    <t>Start Date</t>
  </si>
  <si>
    <t>VND</t>
  </si>
  <si>
    <t>End Date</t>
  </si>
  <si>
    <t>Parker Avery</t>
  </si>
  <si>
    <t>SM</t>
  </si>
  <si>
    <t>Oracle</t>
  </si>
  <si>
    <t>IMT</t>
  </si>
  <si>
    <t>Alix Partners</t>
  </si>
  <si>
    <t>DFI</t>
  </si>
  <si>
    <t>TCP</t>
  </si>
  <si>
    <t>The Mall Group</t>
  </si>
  <si>
    <t>Olivia</t>
  </si>
  <si>
    <t>Right Roofing</t>
  </si>
  <si>
    <t>Maison</t>
  </si>
  <si>
    <t>AIS</t>
  </si>
  <si>
    <t>Bath &amp; Body Works</t>
  </si>
  <si>
    <t>Les Schwab</t>
  </si>
  <si>
    <t>Bank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</si>
</sst>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007EB5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333333"/>
      </patternFill>
    </fill>
    <fill>
      <patternFill patternType="solid">
        <fgColor rgb="FF5559DF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BCA58A"/>
      </patternFill>
    </fill>
    <fill>
      <patternFill patternType="solid">
        <fgColor rgb="FF784BD1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1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283"/>
  <sheetViews>
    <sheetView tabSelected="1" workbookViewId="0">
      <selection activeCell="A79" sqref="A79"/>
    </sheetView>
  </sheetViews>
  <sheetFormatPr defaultRowHeight="14.4" x14ac:dyDescent="0.3"/>
  <cols>
    <col min="1" max="1" width="40" customWidth="1"/>
    <col min="2" max="2" width="27.77734375" style="21" bestFit="1" customWidth="1"/>
    <col min="3" max="5" width="20" customWidth="1"/>
    <col min="6" max="6" width="25.77734375" bestFit="1" customWidth="1"/>
    <col min="7" max="11" width="20" customWidth="1"/>
    <col min="12" max="12" width="20" style="19" customWidth="1"/>
    <col min="13" max="51" width="20" customWidth="1"/>
  </cols>
  <sheetData>
    <row r="1" spans="1:51" ht="16.05" customHeight="1" x14ac:dyDescent="0.3">
      <c r="A1" s="1" t="s">
        <v>1</v>
      </c>
      <c r="B1" s="1" t="s">
        <v>470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7" t="s">
        <v>473</v>
      </c>
      <c r="M1" s="20" t="s">
        <v>475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46</v>
      </c>
      <c r="AX1" s="1" t="s">
        <v>46</v>
      </c>
      <c r="AY1" s="1" t="s">
        <v>47</v>
      </c>
    </row>
    <row r="2" spans="1:51" ht="16.05" hidden="1" customHeight="1" x14ac:dyDescent="0.3">
      <c r="A2" s="2" t="s">
        <v>48</v>
      </c>
      <c r="B2" s="3" t="s">
        <v>52</v>
      </c>
      <c r="C2" s="4" t="s">
        <v>0</v>
      </c>
      <c r="D2" s="3" t="s">
        <v>50</v>
      </c>
      <c r="E2" s="3" t="s">
        <v>53</v>
      </c>
      <c r="F2" s="3" t="s">
        <v>51</v>
      </c>
      <c r="G2" s="5" t="s">
        <v>49</v>
      </c>
      <c r="H2" s="5" t="s">
        <v>49</v>
      </c>
      <c r="I2" s="6">
        <v>46119</v>
      </c>
      <c r="J2" t="s">
        <v>49</v>
      </c>
      <c r="K2" s="6">
        <v>46568</v>
      </c>
      <c r="L2" s="18">
        <v>46569</v>
      </c>
      <c r="M2" s="6">
        <f>EDATE(L2,INT(P2)) + (P2-INT(P2)) * DAY(EOMONTH(EDATE(L2,INT(P2)),0))</f>
        <v>46584.5</v>
      </c>
      <c r="N2" t="s">
        <v>49</v>
      </c>
      <c r="O2" t="s">
        <v>49</v>
      </c>
      <c r="P2">
        <v>0.5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s="3">
        <v>0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s="3">
        <v>0</v>
      </c>
      <c r="AQ2" t="s">
        <v>49</v>
      </c>
      <c r="AR2" t="s">
        <v>49</v>
      </c>
      <c r="AS2" t="s">
        <v>49</v>
      </c>
      <c r="AT2" t="s">
        <v>49</v>
      </c>
      <c r="AU2" s="5" t="s">
        <v>49</v>
      </c>
      <c r="AV2" t="s">
        <v>49</v>
      </c>
      <c r="AW2" t="s">
        <v>49</v>
      </c>
      <c r="AX2" t="s">
        <v>49</v>
      </c>
      <c r="AY2" t="s">
        <v>49</v>
      </c>
    </row>
    <row r="3" spans="1:51" ht="16.05" hidden="1" customHeight="1" x14ac:dyDescent="0.3">
      <c r="A3" s="2" t="s">
        <v>54</v>
      </c>
      <c r="B3" s="3" t="s">
        <v>54</v>
      </c>
      <c r="C3" s="4" t="s">
        <v>0</v>
      </c>
      <c r="D3" s="3" t="s">
        <v>55</v>
      </c>
      <c r="E3" s="3" t="s">
        <v>57</v>
      </c>
      <c r="F3" s="3" t="s">
        <v>56</v>
      </c>
      <c r="G3" s="5" t="s">
        <v>49</v>
      </c>
      <c r="H3" s="5" t="s">
        <v>49</v>
      </c>
      <c r="I3" s="6">
        <v>46111</v>
      </c>
      <c r="J3" t="s">
        <v>49</v>
      </c>
      <c r="K3" t="s">
        <v>49</v>
      </c>
      <c r="L3" s="19">
        <f>EDATE(I3,3)</f>
        <v>46203</v>
      </c>
      <c r="M3" s="6">
        <f t="shared" ref="M3:M66" si="0">EDATE(L3,INT(P3)) + (P3-INT(P3)) * DAY(EOMONTH(EDATE(L3,INT(P3)),0))</f>
        <v>46218</v>
      </c>
      <c r="N3" t="s">
        <v>49</v>
      </c>
      <c r="O3" t="s">
        <v>49</v>
      </c>
      <c r="P3">
        <v>0.5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s="3">
        <v>0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s="3">
        <v>0</v>
      </c>
      <c r="AQ3" t="s">
        <v>49</v>
      </c>
      <c r="AR3" t="s">
        <v>49</v>
      </c>
      <c r="AS3" t="s">
        <v>49</v>
      </c>
      <c r="AT3" t="s">
        <v>49</v>
      </c>
      <c r="AU3" s="5" t="s">
        <v>49</v>
      </c>
      <c r="AV3" t="s">
        <v>49</v>
      </c>
      <c r="AW3" t="s">
        <v>49</v>
      </c>
      <c r="AX3" t="s">
        <v>49</v>
      </c>
      <c r="AY3" t="s">
        <v>49</v>
      </c>
    </row>
    <row r="4" spans="1:51" ht="16.05" hidden="1" customHeight="1" x14ac:dyDescent="0.3">
      <c r="A4" s="2" t="s">
        <v>58</v>
      </c>
      <c r="B4" s="3" t="s">
        <v>59</v>
      </c>
      <c r="C4" s="4" t="s">
        <v>0</v>
      </c>
      <c r="D4" s="3" t="s">
        <v>55</v>
      </c>
      <c r="E4" s="3" t="s">
        <v>57</v>
      </c>
      <c r="F4" s="3" t="s">
        <v>56</v>
      </c>
      <c r="G4" s="5" t="s">
        <v>49</v>
      </c>
      <c r="H4" s="5" t="s">
        <v>49</v>
      </c>
      <c r="I4" s="6">
        <v>46099</v>
      </c>
      <c r="J4" t="s">
        <v>49</v>
      </c>
      <c r="K4" t="s">
        <v>49</v>
      </c>
      <c r="L4" s="19">
        <f t="shared" ref="L4:L10" si="1">EDATE(I4,3)</f>
        <v>46191</v>
      </c>
      <c r="M4" s="6">
        <f t="shared" si="0"/>
        <v>46206</v>
      </c>
      <c r="N4" t="s">
        <v>49</v>
      </c>
      <c r="O4" t="s">
        <v>49</v>
      </c>
      <c r="P4">
        <v>0.5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s="3">
        <v>0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s="3">
        <v>0</v>
      </c>
      <c r="AQ4" t="s">
        <v>49</v>
      </c>
      <c r="AR4" t="s">
        <v>49</v>
      </c>
      <c r="AS4" t="s">
        <v>49</v>
      </c>
      <c r="AT4" t="s">
        <v>49</v>
      </c>
      <c r="AU4" s="5" t="s">
        <v>49</v>
      </c>
      <c r="AV4" t="s">
        <v>49</v>
      </c>
      <c r="AW4" t="s">
        <v>49</v>
      </c>
      <c r="AX4" t="s">
        <v>49</v>
      </c>
      <c r="AY4" t="s">
        <v>49</v>
      </c>
    </row>
    <row r="5" spans="1:51" ht="16.05" hidden="1" customHeight="1" x14ac:dyDescent="0.3">
      <c r="A5" s="2" t="s">
        <v>60</v>
      </c>
      <c r="B5" s="3" t="s">
        <v>60</v>
      </c>
      <c r="C5" s="4" t="s">
        <v>0</v>
      </c>
      <c r="D5" s="3" t="s">
        <v>55</v>
      </c>
      <c r="E5" s="3" t="s">
        <v>57</v>
      </c>
      <c r="F5" s="3" t="s">
        <v>56</v>
      </c>
      <c r="G5" s="5" t="s">
        <v>49</v>
      </c>
      <c r="H5" s="5" t="s">
        <v>49</v>
      </c>
      <c r="I5" s="6">
        <v>46086</v>
      </c>
      <c r="J5" t="s">
        <v>49</v>
      </c>
      <c r="K5" t="s">
        <v>49</v>
      </c>
      <c r="L5" s="19">
        <f t="shared" si="1"/>
        <v>46178</v>
      </c>
      <c r="M5" s="6">
        <f t="shared" si="0"/>
        <v>46193</v>
      </c>
      <c r="O5" t="s">
        <v>49</v>
      </c>
      <c r="P5">
        <v>0.5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s="3">
        <v>0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s="3">
        <v>0</v>
      </c>
      <c r="AQ5" t="s">
        <v>49</v>
      </c>
      <c r="AR5" t="s">
        <v>49</v>
      </c>
      <c r="AS5" t="s">
        <v>49</v>
      </c>
      <c r="AT5" t="s">
        <v>49</v>
      </c>
      <c r="AU5" s="5" t="s">
        <v>49</v>
      </c>
      <c r="AV5" t="s">
        <v>49</v>
      </c>
      <c r="AW5" t="s">
        <v>49</v>
      </c>
      <c r="AX5" t="s">
        <v>49</v>
      </c>
      <c r="AY5" t="s">
        <v>49</v>
      </c>
    </row>
    <row r="6" spans="1:51" ht="16.05" hidden="1" customHeight="1" x14ac:dyDescent="0.3">
      <c r="A6" s="2" t="s">
        <v>61</v>
      </c>
      <c r="B6" s="3" t="s">
        <v>61</v>
      </c>
      <c r="C6" s="4" t="s">
        <v>0</v>
      </c>
      <c r="D6" s="3" t="s">
        <v>55</v>
      </c>
      <c r="E6" s="3" t="s">
        <v>57</v>
      </c>
      <c r="F6" s="3" t="s">
        <v>56</v>
      </c>
      <c r="G6" s="5" t="s">
        <v>49</v>
      </c>
      <c r="H6" s="5" t="s">
        <v>49</v>
      </c>
      <c r="I6" s="6">
        <v>46069</v>
      </c>
      <c r="J6" t="s">
        <v>49</v>
      </c>
      <c r="K6" t="s">
        <v>49</v>
      </c>
      <c r="L6" s="19">
        <f t="shared" si="1"/>
        <v>46158</v>
      </c>
      <c r="M6" s="6">
        <f t="shared" si="0"/>
        <v>46173.5</v>
      </c>
      <c r="N6" t="s">
        <v>49</v>
      </c>
      <c r="O6" t="s">
        <v>49</v>
      </c>
      <c r="P6">
        <v>0.5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s="3">
        <v>0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s="3">
        <v>0</v>
      </c>
      <c r="AQ6" t="s">
        <v>49</v>
      </c>
      <c r="AR6" t="s">
        <v>49</v>
      </c>
      <c r="AS6" t="s">
        <v>49</v>
      </c>
      <c r="AT6" t="s">
        <v>49</v>
      </c>
      <c r="AU6" s="5" t="s">
        <v>49</v>
      </c>
      <c r="AV6" t="s">
        <v>49</v>
      </c>
      <c r="AW6" t="s">
        <v>49</v>
      </c>
      <c r="AX6" t="s">
        <v>49</v>
      </c>
      <c r="AY6" t="s">
        <v>49</v>
      </c>
    </row>
    <row r="7" spans="1:51" ht="16.05" hidden="1" customHeight="1" x14ac:dyDescent="0.3">
      <c r="A7" s="2" t="s">
        <v>62</v>
      </c>
      <c r="B7" s="3" t="s">
        <v>63</v>
      </c>
      <c r="C7" s="4" t="s">
        <v>0</v>
      </c>
      <c r="D7" s="3" t="s">
        <v>55</v>
      </c>
      <c r="E7" s="3" t="s">
        <v>57</v>
      </c>
      <c r="F7" s="3" t="s">
        <v>56</v>
      </c>
      <c r="G7" s="5" t="s">
        <v>49</v>
      </c>
      <c r="H7" s="5" t="s">
        <v>49</v>
      </c>
      <c r="I7" s="6">
        <v>46069</v>
      </c>
      <c r="J7" t="s">
        <v>49</v>
      </c>
      <c r="K7" t="s">
        <v>49</v>
      </c>
      <c r="L7" s="19">
        <f t="shared" si="1"/>
        <v>46158</v>
      </c>
      <c r="M7" s="6">
        <f t="shared" si="0"/>
        <v>46173.5</v>
      </c>
      <c r="N7" t="s">
        <v>49</v>
      </c>
      <c r="O7" t="s">
        <v>49</v>
      </c>
      <c r="P7">
        <v>0.5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s="3">
        <v>0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s="3">
        <v>0</v>
      </c>
      <c r="AQ7" t="s">
        <v>49</v>
      </c>
      <c r="AR7" t="s">
        <v>49</v>
      </c>
      <c r="AS7" t="s">
        <v>49</v>
      </c>
      <c r="AT7" t="s">
        <v>49</v>
      </c>
      <c r="AU7" s="5" t="s">
        <v>49</v>
      </c>
      <c r="AV7" t="s">
        <v>49</v>
      </c>
      <c r="AW7" t="s">
        <v>49</v>
      </c>
      <c r="AX7" t="s">
        <v>49</v>
      </c>
      <c r="AY7" t="s">
        <v>49</v>
      </c>
    </row>
    <row r="8" spans="1:51" ht="16.05" hidden="1" customHeight="1" x14ac:dyDescent="0.3">
      <c r="A8" s="2" t="s">
        <v>64</v>
      </c>
      <c r="B8" s="3" t="s">
        <v>64</v>
      </c>
      <c r="C8" s="4" t="s">
        <v>0</v>
      </c>
      <c r="D8" s="3" t="s">
        <v>55</v>
      </c>
      <c r="E8" s="3" t="s">
        <v>57</v>
      </c>
      <c r="F8" s="3" t="s">
        <v>56</v>
      </c>
      <c r="G8" s="5" t="s">
        <v>49</v>
      </c>
      <c r="H8" s="5" t="s">
        <v>49</v>
      </c>
      <c r="I8" s="6">
        <v>46069</v>
      </c>
      <c r="J8" t="s">
        <v>49</v>
      </c>
      <c r="K8" t="s">
        <v>49</v>
      </c>
      <c r="L8" s="19">
        <f t="shared" si="1"/>
        <v>46158</v>
      </c>
      <c r="M8" s="6">
        <f t="shared" si="0"/>
        <v>46173.5</v>
      </c>
      <c r="N8" t="s">
        <v>49</v>
      </c>
      <c r="O8" t="s">
        <v>49</v>
      </c>
      <c r="P8">
        <v>0.5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s="3">
        <v>0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s="3">
        <v>0</v>
      </c>
      <c r="AQ8" t="s">
        <v>49</v>
      </c>
      <c r="AR8" t="s">
        <v>49</v>
      </c>
      <c r="AS8" t="s">
        <v>49</v>
      </c>
      <c r="AT8" t="s">
        <v>49</v>
      </c>
      <c r="AU8" s="5" t="s">
        <v>49</v>
      </c>
      <c r="AV8" t="s">
        <v>49</v>
      </c>
      <c r="AW8" t="s">
        <v>49</v>
      </c>
      <c r="AX8" t="s">
        <v>49</v>
      </c>
      <c r="AY8" t="s">
        <v>49</v>
      </c>
    </row>
    <row r="9" spans="1:51" ht="16.05" hidden="1" customHeight="1" x14ac:dyDescent="0.3">
      <c r="A9" s="2" t="s">
        <v>65</v>
      </c>
      <c r="B9" s="3" t="s">
        <v>65</v>
      </c>
      <c r="C9" s="4" t="s">
        <v>0</v>
      </c>
      <c r="D9" s="3" t="s">
        <v>55</v>
      </c>
      <c r="E9" s="3" t="s">
        <v>57</v>
      </c>
      <c r="F9" s="3" t="s">
        <v>56</v>
      </c>
      <c r="G9" s="5" t="s">
        <v>49</v>
      </c>
      <c r="H9" s="5" t="s">
        <v>49</v>
      </c>
      <c r="I9" s="6">
        <v>46052</v>
      </c>
      <c r="J9" t="s">
        <v>49</v>
      </c>
      <c r="K9" t="s">
        <v>49</v>
      </c>
      <c r="L9" s="19">
        <f t="shared" si="1"/>
        <v>46142</v>
      </c>
      <c r="M9" s="6">
        <f t="shared" si="0"/>
        <v>46157</v>
      </c>
      <c r="N9" t="s">
        <v>49</v>
      </c>
      <c r="O9" t="s">
        <v>49</v>
      </c>
      <c r="P9">
        <v>0.5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s="3">
        <v>0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s="3">
        <v>0</v>
      </c>
      <c r="AQ9" t="s">
        <v>49</v>
      </c>
      <c r="AR9" t="s">
        <v>49</v>
      </c>
      <c r="AS9" t="s">
        <v>49</v>
      </c>
      <c r="AT9" t="s">
        <v>49</v>
      </c>
      <c r="AU9" s="5" t="s">
        <v>49</v>
      </c>
      <c r="AV9" t="s">
        <v>49</v>
      </c>
      <c r="AW9" t="s">
        <v>49</v>
      </c>
      <c r="AX9" t="s">
        <v>49</v>
      </c>
      <c r="AY9" t="s">
        <v>49</v>
      </c>
    </row>
    <row r="10" spans="1:51" ht="16.05" hidden="1" customHeight="1" x14ac:dyDescent="0.3">
      <c r="A10" s="2" t="s">
        <v>66</v>
      </c>
      <c r="B10" s="3" t="s">
        <v>69</v>
      </c>
      <c r="C10" s="4" t="s">
        <v>0</v>
      </c>
      <c r="D10" s="3" t="s">
        <v>67</v>
      </c>
      <c r="E10" s="3" t="s">
        <v>79</v>
      </c>
      <c r="F10" s="3" t="s">
        <v>68</v>
      </c>
      <c r="G10" s="8" t="s">
        <v>471</v>
      </c>
      <c r="H10" s="9" t="s">
        <v>70</v>
      </c>
      <c r="I10" s="6">
        <v>46047</v>
      </c>
      <c r="J10" t="s">
        <v>49</v>
      </c>
      <c r="K10" t="s">
        <v>49</v>
      </c>
      <c r="L10" s="19">
        <f t="shared" si="1"/>
        <v>46137</v>
      </c>
      <c r="M10" s="6">
        <f t="shared" si="0"/>
        <v>46152</v>
      </c>
      <c r="N10" t="s">
        <v>49</v>
      </c>
      <c r="O10" t="s">
        <v>49</v>
      </c>
      <c r="P10">
        <v>0.5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s="3">
        <v>0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s="3">
        <v>0</v>
      </c>
      <c r="AQ10" t="s">
        <v>49</v>
      </c>
      <c r="AR10" t="s">
        <v>49</v>
      </c>
      <c r="AS10" t="s">
        <v>49</v>
      </c>
      <c r="AT10" t="s">
        <v>49</v>
      </c>
      <c r="AU10" s="5" t="s">
        <v>49</v>
      </c>
      <c r="AV10" t="s">
        <v>49</v>
      </c>
      <c r="AW10" t="s">
        <v>49</v>
      </c>
      <c r="AX10" t="s">
        <v>49</v>
      </c>
      <c r="AY10" t="s">
        <v>49</v>
      </c>
    </row>
    <row r="11" spans="1:51" ht="16.05" hidden="1" customHeight="1" x14ac:dyDescent="0.3">
      <c r="A11" s="2" t="s">
        <v>71</v>
      </c>
      <c r="B11" s="3" t="s">
        <v>72</v>
      </c>
      <c r="C11" s="4" t="s">
        <v>0</v>
      </c>
      <c r="D11" s="3" t="s">
        <v>67</v>
      </c>
      <c r="E11" s="3" t="s">
        <v>79</v>
      </c>
      <c r="F11" s="3" t="s">
        <v>68</v>
      </c>
      <c r="G11" s="5" t="s">
        <v>49</v>
      </c>
      <c r="H11" s="5" t="s">
        <v>49</v>
      </c>
      <c r="I11" s="6">
        <v>46045</v>
      </c>
      <c r="J11" s="3">
        <v>20000</v>
      </c>
      <c r="K11" s="6">
        <v>46154</v>
      </c>
      <c r="L11" s="18">
        <v>46143</v>
      </c>
      <c r="M11" s="6">
        <f t="shared" si="0"/>
        <v>46235</v>
      </c>
      <c r="N11" t="s">
        <v>49</v>
      </c>
      <c r="O11" t="s">
        <v>49</v>
      </c>
      <c r="P11">
        <v>3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s="3">
        <v>0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s="3">
        <v>0</v>
      </c>
      <c r="AQ11" t="s">
        <v>49</v>
      </c>
      <c r="AR11" t="s">
        <v>49</v>
      </c>
      <c r="AS11" t="s">
        <v>49</v>
      </c>
      <c r="AT11" t="s">
        <v>49</v>
      </c>
      <c r="AU11" s="5" t="s">
        <v>49</v>
      </c>
      <c r="AV11" t="s">
        <v>49</v>
      </c>
      <c r="AW11" t="s">
        <v>49</v>
      </c>
      <c r="AX11" t="s">
        <v>49</v>
      </c>
      <c r="AY11" t="s">
        <v>49</v>
      </c>
    </row>
    <row r="12" spans="1:51" ht="16.05" hidden="1" customHeight="1" x14ac:dyDescent="0.3">
      <c r="A12" s="2" t="s">
        <v>73</v>
      </c>
      <c r="B12" s="3" t="s">
        <v>73</v>
      </c>
      <c r="C12" s="4" t="s">
        <v>0</v>
      </c>
      <c r="D12" s="3" t="s">
        <v>55</v>
      </c>
      <c r="E12" s="3" t="s">
        <v>57</v>
      </c>
      <c r="F12" s="3" t="s">
        <v>56</v>
      </c>
      <c r="G12" s="5" t="s">
        <v>49</v>
      </c>
      <c r="H12" s="5" t="s">
        <v>49</v>
      </c>
      <c r="I12" s="6">
        <v>46043</v>
      </c>
      <c r="J12" t="s">
        <v>49</v>
      </c>
      <c r="K12" t="s">
        <v>49</v>
      </c>
      <c r="L12" s="19">
        <f>EDATE(I12,3)</f>
        <v>46133</v>
      </c>
      <c r="M12" s="6">
        <f t="shared" si="0"/>
        <v>46148</v>
      </c>
      <c r="N12" t="s">
        <v>49</v>
      </c>
      <c r="O12" t="s">
        <v>49</v>
      </c>
      <c r="P12">
        <v>0.5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s="3">
        <v>0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s="3">
        <v>0</v>
      </c>
      <c r="AQ12" t="s">
        <v>49</v>
      </c>
      <c r="AR12" t="s">
        <v>49</v>
      </c>
      <c r="AS12" t="s">
        <v>49</v>
      </c>
      <c r="AT12" t="s">
        <v>49</v>
      </c>
      <c r="AU12" s="5" t="s">
        <v>49</v>
      </c>
      <c r="AV12" t="s">
        <v>49</v>
      </c>
      <c r="AW12" t="s">
        <v>49</v>
      </c>
      <c r="AX12" t="s">
        <v>49</v>
      </c>
      <c r="AY12" t="s">
        <v>49</v>
      </c>
    </row>
    <row r="13" spans="1:51" ht="16.05" hidden="1" customHeight="1" x14ac:dyDescent="0.3">
      <c r="A13" s="2" t="s">
        <v>74</v>
      </c>
      <c r="B13" s="3" t="s">
        <v>74</v>
      </c>
      <c r="C13" s="4" t="s">
        <v>0</v>
      </c>
      <c r="D13" s="3" t="s">
        <v>55</v>
      </c>
      <c r="E13" s="3" t="s">
        <v>57</v>
      </c>
      <c r="F13" s="3" t="s">
        <v>56</v>
      </c>
      <c r="G13" s="5" t="s">
        <v>49</v>
      </c>
      <c r="H13" s="5" t="s">
        <v>49</v>
      </c>
      <c r="I13" s="6">
        <v>46043</v>
      </c>
      <c r="J13" t="s">
        <v>49</v>
      </c>
      <c r="K13" t="s">
        <v>49</v>
      </c>
      <c r="L13" s="19">
        <f t="shared" ref="L13:L22" si="2">EDATE(I13,3)</f>
        <v>46133</v>
      </c>
      <c r="M13" s="6">
        <f t="shared" si="0"/>
        <v>46148</v>
      </c>
      <c r="N13" t="s">
        <v>49</v>
      </c>
      <c r="O13" t="s">
        <v>49</v>
      </c>
      <c r="P13">
        <v>0.5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s="3">
        <v>0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s="3">
        <v>0</v>
      </c>
      <c r="AQ13" t="s">
        <v>49</v>
      </c>
      <c r="AR13" t="s">
        <v>49</v>
      </c>
      <c r="AS13" t="s">
        <v>49</v>
      </c>
      <c r="AT13" t="s">
        <v>49</v>
      </c>
      <c r="AU13" s="5" t="s">
        <v>49</v>
      </c>
      <c r="AV13" t="s">
        <v>49</v>
      </c>
      <c r="AW13" t="s">
        <v>49</v>
      </c>
      <c r="AX13" t="s">
        <v>49</v>
      </c>
      <c r="AY13" t="s">
        <v>49</v>
      </c>
    </row>
    <row r="14" spans="1:51" ht="16.05" hidden="1" customHeight="1" x14ac:dyDescent="0.3">
      <c r="A14" s="2" t="s">
        <v>75</v>
      </c>
      <c r="B14" s="3" t="s">
        <v>76</v>
      </c>
      <c r="C14" s="4" t="s">
        <v>0</v>
      </c>
      <c r="D14" s="3" t="s">
        <v>67</v>
      </c>
      <c r="E14" s="3" t="s">
        <v>79</v>
      </c>
      <c r="F14" s="3" t="s">
        <v>68</v>
      </c>
      <c r="G14" s="5" t="s">
        <v>49</v>
      </c>
      <c r="H14" s="5" t="s">
        <v>49</v>
      </c>
      <c r="I14" s="6">
        <v>46042</v>
      </c>
      <c r="J14" t="s">
        <v>49</v>
      </c>
      <c r="K14" t="s">
        <v>49</v>
      </c>
      <c r="L14" s="19">
        <f t="shared" si="2"/>
        <v>46132</v>
      </c>
      <c r="M14" s="6">
        <f t="shared" si="0"/>
        <v>46147</v>
      </c>
      <c r="N14" t="s">
        <v>49</v>
      </c>
      <c r="O14" t="s">
        <v>49</v>
      </c>
      <c r="P14">
        <v>0.5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s="3">
        <v>0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s="3">
        <v>0</v>
      </c>
      <c r="AQ14" t="s">
        <v>49</v>
      </c>
      <c r="AR14" t="s">
        <v>49</v>
      </c>
      <c r="AS14" t="s">
        <v>49</v>
      </c>
      <c r="AT14" t="s">
        <v>49</v>
      </c>
      <c r="AU14" s="5" t="s">
        <v>49</v>
      </c>
      <c r="AV14" t="s">
        <v>49</v>
      </c>
      <c r="AW14" t="s">
        <v>49</v>
      </c>
      <c r="AX14" t="s">
        <v>49</v>
      </c>
      <c r="AY14" t="s">
        <v>49</v>
      </c>
    </row>
    <row r="15" spans="1:51" ht="16.05" hidden="1" customHeight="1" x14ac:dyDescent="0.3">
      <c r="A15" s="2" t="s">
        <v>77</v>
      </c>
      <c r="B15" s="3" t="s">
        <v>78</v>
      </c>
      <c r="C15" s="4" t="s">
        <v>0</v>
      </c>
      <c r="D15" s="3" t="s">
        <v>67</v>
      </c>
      <c r="E15" s="3" t="s">
        <v>79</v>
      </c>
      <c r="F15" s="3" t="s">
        <v>68</v>
      </c>
      <c r="G15" s="5" t="s">
        <v>49</v>
      </c>
      <c r="H15" s="5" t="s">
        <v>49</v>
      </c>
      <c r="I15" s="6">
        <v>46041</v>
      </c>
      <c r="J15" t="s">
        <v>49</v>
      </c>
      <c r="K15" t="s">
        <v>49</v>
      </c>
      <c r="L15" s="19">
        <f t="shared" si="2"/>
        <v>46131</v>
      </c>
      <c r="M15" s="6">
        <f t="shared" si="0"/>
        <v>46146</v>
      </c>
      <c r="N15" t="s">
        <v>49</v>
      </c>
      <c r="O15" t="s">
        <v>49</v>
      </c>
      <c r="P15">
        <v>0.5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s="3">
        <v>0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s="3">
        <v>0</v>
      </c>
      <c r="AQ15" t="s">
        <v>49</v>
      </c>
      <c r="AR15" t="s">
        <v>49</v>
      </c>
      <c r="AS15" t="s">
        <v>49</v>
      </c>
      <c r="AT15" t="s">
        <v>49</v>
      </c>
      <c r="AU15" s="5" t="s">
        <v>49</v>
      </c>
      <c r="AV15" t="s">
        <v>49</v>
      </c>
      <c r="AW15" t="s">
        <v>49</v>
      </c>
      <c r="AX15" t="s">
        <v>49</v>
      </c>
      <c r="AY15" t="s">
        <v>49</v>
      </c>
    </row>
    <row r="16" spans="1:51" ht="16.05" hidden="1" customHeight="1" x14ac:dyDescent="0.3">
      <c r="A16" s="2" t="s">
        <v>80</v>
      </c>
      <c r="B16" s="3" t="s">
        <v>81</v>
      </c>
      <c r="C16" s="4" t="s">
        <v>0</v>
      </c>
      <c r="D16" s="3" t="s">
        <v>67</v>
      </c>
      <c r="E16" s="3" t="s">
        <v>79</v>
      </c>
      <c r="F16" s="3" t="s">
        <v>68</v>
      </c>
      <c r="G16" s="5" t="s">
        <v>49</v>
      </c>
      <c r="H16" s="5" t="s">
        <v>49</v>
      </c>
      <c r="I16" s="6">
        <v>46041</v>
      </c>
      <c r="J16" t="s">
        <v>49</v>
      </c>
      <c r="K16" t="s">
        <v>49</v>
      </c>
      <c r="L16" s="19">
        <f t="shared" si="2"/>
        <v>46131</v>
      </c>
      <c r="M16" s="6">
        <f t="shared" si="0"/>
        <v>46146</v>
      </c>
      <c r="N16" t="s">
        <v>49</v>
      </c>
      <c r="O16" t="s">
        <v>49</v>
      </c>
      <c r="P16">
        <v>0.5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s="3">
        <v>0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s="3">
        <v>0</v>
      </c>
      <c r="AQ16" t="s">
        <v>49</v>
      </c>
      <c r="AR16" t="s">
        <v>49</v>
      </c>
      <c r="AS16" t="s">
        <v>49</v>
      </c>
      <c r="AT16" t="s">
        <v>49</v>
      </c>
      <c r="AU16" s="5" t="s">
        <v>49</v>
      </c>
      <c r="AV16" t="s">
        <v>49</v>
      </c>
      <c r="AW16" t="s">
        <v>49</v>
      </c>
      <c r="AX16" t="s">
        <v>49</v>
      </c>
      <c r="AY16" t="s">
        <v>49</v>
      </c>
    </row>
    <row r="17" spans="1:51" ht="16.05" hidden="1" customHeight="1" x14ac:dyDescent="0.3">
      <c r="A17" s="2" t="s">
        <v>82</v>
      </c>
      <c r="B17" s="3" t="s">
        <v>84</v>
      </c>
      <c r="C17" s="4" t="s">
        <v>0</v>
      </c>
      <c r="D17" s="3" t="s">
        <v>50</v>
      </c>
      <c r="E17" s="3" t="s">
        <v>53</v>
      </c>
      <c r="F17" s="3" t="s">
        <v>83</v>
      </c>
      <c r="G17" s="5" t="s">
        <v>49</v>
      </c>
      <c r="H17" s="5" t="s">
        <v>49</v>
      </c>
      <c r="I17" s="6">
        <v>46030</v>
      </c>
      <c r="J17" s="3">
        <v>1050000</v>
      </c>
      <c r="K17" t="s">
        <v>49</v>
      </c>
      <c r="L17" s="19">
        <f t="shared" si="2"/>
        <v>46120</v>
      </c>
      <c r="M17" s="6">
        <f t="shared" si="0"/>
        <v>46150</v>
      </c>
      <c r="N17" t="s">
        <v>49</v>
      </c>
      <c r="O17" t="s">
        <v>49</v>
      </c>
      <c r="P17" s="3">
        <v>1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s="3">
        <v>0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s="3">
        <v>0</v>
      </c>
      <c r="AQ17" t="s">
        <v>49</v>
      </c>
      <c r="AR17" t="s">
        <v>49</v>
      </c>
      <c r="AS17" t="s">
        <v>49</v>
      </c>
      <c r="AT17" t="s">
        <v>49</v>
      </c>
      <c r="AU17" s="5" t="s">
        <v>49</v>
      </c>
      <c r="AV17" t="s">
        <v>49</v>
      </c>
      <c r="AW17" t="s">
        <v>49</v>
      </c>
      <c r="AX17" t="s">
        <v>49</v>
      </c>
      <c r="AY17" t="s">
        <v>49</v>
      </c>
    </row>
    <row r="18" spans="1:51" ht="16.05" hidden="1" customHeight="1" x14ac:dyDescent="0.3">
      <c r="A18" s="2" t="s">
        <v>85</v>
      </c>
      <c r="B18" s="3" t="s">
        <v>86</v>
      </c>
      <c r="C18" s="4" t="s">
        <v>0</v>
      </c>
      <c r="D18" s="3" t="s">
        <v>55</v>
      </c>
      <c r="E18" s="3" t="s">
        <v>57</v>
      </c>
      <c r="F18" s="3" t="s">
        <v>56</v>
      </c>
      <c r="G18" s="5" t="s">
        <v>49</v>
      </c>
      <c r="H18" s="5" t="s">
        <v>49</v>
      </c>
      <c r="I18" s="6">
        <v>46002</v>
      </c>
      <c r="J18" t="s">
        <v>49</v>
      </c>
      <c r="K18" t="s">
        <v>49</v>
      </c>
      <c r="L18" s="19">
        <f t="shared" si="2"/>
        <v>46092</v>
      </c>
      <c r="M18" s="6">
        <f t="shared" si="0"/>
        <v>46107.5</v>
      </c>
      <c r="N18" t="s">
        <v>49</v>
      </c>
      <c r="O18" t="s">
        <v>49</v>
      </c>
      <c r="P18">
        <v>0.5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s="3">
        <v>0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s="3">
        <v>0</v>
      </c>
      <c r="AQ18" t="s">
        <v>49</v>
      </c>
      <c r="AR18" t="s">
        <v>49</v>
      </c>
      <c r="AS18" t="s">
        <v>49</v>
      </c>
      <c r="AT18" t="s">
        <v>49</v>
      </c>
      <c r="AU18" s="5" t="s">
        <v>49</v>
      </c>
      <c r="AV18" t="s">
        <v>49</v>
      </c>
      <c r="AW18" t="s">
        <v>49</v>
      </c>
      <c r="AX18" t="s">
        <v>49</v>
      </c>
      <c r="AY18" t="s">
        <v>49</v>
      </c>
    </row>
    <row r="19" spans="1:51" ht="16.05" hidden="1" customHeight="1" x14ac:dyDescent="0.3">
      <c r="A19" s="2" t="s">
        <v>87</v>
      </c>
      <c r="B19" s="3" t="s">
        <v>88</v>
      </c>
      <c r="C19" s="4" t="s">
        <v>0</v>
      </c>
      <c r="D19" s="3" t="s">
        <v>55</v>
      </c>
      <c r="E19" s="3" t="s">
        <v>57</v>
      </c>
      <c r="F19" s="3" t="s">
        <v>56</v>
      </c>
      <c r="G19" s="5" t="s">
        <v>49</v>
      </c>
      <c r="H19" s="5" t="s">
        <v>49</v>
      </c>
      <c r="I19" s="6">
        <v>46002</v>
      </c>
      <c r="J19" t="s">
        <v>49</v>
      </c>
      <c r="K19" t="s">
        <v>49</v>
      </c>
      <c r="L19" s="19">
        <f t="shared" si="2"/>
        <v>46092</v>
      </c>
      <c r="M19" s="6">
        <f t="shared" si="0"/>
        <v>46107.5</v>
      </c>
      <c r="N19" t="s">
        <v>49</v>
      </c>
      <c r="O19" t="s">
        <v>49</v>
      </c>
      <c r="P19">
        <v>0.5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s="3">
        <v>0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s="3">
        <v>0</v>
      </c>
      <c r="AQ19" t="s">
        <v>49</v>
      </c>
      <c r="AR19" t="s">
        <v>49</v>
      </c>
      <c r="AS19" t="s">
        <v>49</v>
      </c>
      <c r="AT19" t="s">
        <v>49</v>
      </c>
      <c r="AU19" s="5" t="s">
        <v>49</v>
      </c>
      <c r="AV19" t="s">
        <v>49</v>
      </c>
      <c r="AW19" t="s">
        <v>49</v>
      </c>
      <c r="AX19" t="s">
        <v>49</v>
      </c>
      <c r="AY19" t="s">
        <v>49</v>
      </c>
    </row>
    <row r="20" spans="1:51" ht="16.05" hidden="1" customHeight="1" x14ac:dyDescent="0.3">
      <c r="A20" s="2" t="s">
        <v>89</v>
      </c>
      <c r="B20" s="3" t="s">
        <v>90</v>
      </c>
      <c r="C20" s="4" t="s">
        <v>0</v>
      </c>
      <c r="D20" s="3" t="s">
        <v>55</v>
      </c>
      <c r="E20" s="3" t="s">
        <v>57</v>
      </c>
      <c r="F20" s="3" t="s">
        <v>56</v>
      </c>
      <c r="G20" s="5" t="s">
        <v>49</v>
      </c>
      <c r="H20" s="5" t="s">
        <v>49</v>
      </c>
      <c r="I20" s="6">
        <v>45967</v>
      </c>
      <c r="J20" t="s">
        <v>49</v>
      </c>
      <c r="K20" t="s">
        <v>49</v>
      </c>
      <c r="L20" s="19">
        <f t="shared" si="2"/>
        <v>46059</v>
      </c>
      <c r="M20" s="6">
        <f t="shared" si="0"/>
        <v>46073</v>
      </c>
      <c r="N20" t="s">
        <v>49</v>
      </c>
      <c r="O20" t="s">
        <v>49</v>
      </c>
      <c r="P20">
        <v>0.5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s="3">
        <v>0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s="3">
        <v>0</v>
      </c>
      <c r="AQ20" t="s">
        <v>49</v>
      </c>
      <c r="AR20" t="s">
        <v>49</v>
      </c>
      <c r="AS20" t="s">
        <v>49</v>
      </c>
      <c r="AT20" t="s">
        <v>49</v>
      </c>
      <c r="AU20" s="5" t="s">
        <v>49</v>
      </c>
      <c r="AV20" t="s">
        <v>49</v>
      </c>
      <c r="AW20" t="s">
        <v>49</v>
      </c>
      <c r="AX20" t="s">
        <v>49</v>
      </c>
      <c r="AY20" t="s">
        <v>49</v>
      </c>
    </row>
    <row r="21" spans="1:51" ht="16.05" hidden="1" customHeight="1" x14ac:dyDescent="0.3">
      <c r="A21" s="2" t="s">
        <v>78</v>
      </c>
      <c r="B21" s="3" t="s">
        <v>477</v>
      </c>
      <c r="C21" s="4" t="s">
        <v>0</v>
      </c>
      <c r="D21" s="3" t="s">
        <v>67</v>
      </c>
      <c r="E21" s="3" t="s">
        <v>79</v>
      </c>
      <c r="F21" s="3" t="s">
        <v>91</v>
      </c>
      <c r="G21" s="5" t="s">
        <v>49</v>
      </c>
      <c r="H21" s="5" t="s">
        <v>49</v>
      </c>
      <c r="I21" s="6">
        <v>45868</v>
      </c>
      <c r="J21" t="s">
        <v>49</v>
      </c>
      <c r="K21" t="s">
        <v>49</v>
      </c>
      <c r="L21" s="19">
        <f t="shared" si="2"/>
        <v>45960</v>
      </c>
      <c r="M21" s="6">
        <f t="shared" si="0"/>
        <v>45975.5</v>
      </c>
      <c r="N21" t="s">
        <v>49</v>
      </c>
      <c r="O21" t="s">
        <v>49</v>
      </c>
      <c r="P21">
        <v>0.5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s="3">
        <v>0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s="3">
        <v>0</v>
      </c>
      <c r="AQ21" t="s">
        <v>49</v>
      </c>
      <c r="AR21" t="s">
        <v>49</v>
      </c>
      <c r="AS21" t="s">
        <v>49</v>
      </c>
      <c r="AT21" t="s">
        <v>49</v>
      </c>
      <c r="AU21" s="5" t="s">
        <v>49</v>
      </c>
      <c r="AV21" t="s">
        <v>49</v>
      </c>
      <c r="AW21" t="s">
        <v>49</v>
      </c>
      <c r="AX21" t="s">
        <v>49</v>
      </c>
      <c r="AY21" t="s">
        <v>49</v>
      </c>
    </row>
    <row r="22" spans="1:51" ht="16.05" hidden="1" customHeight="1" x14ac:dyDescent="0.3">
      <c r="A22" s="2" t="s">
        <v>92</v>
      </c>
      <c r="B22" s="3" t="s">
        <v>92</v>
      </c>
      <c r="C22" s="4" t="s">
        <v>0</v>
      </c>
      <c r="D22" s="3" t="s">
        <v>67</v>
      </c>
      <c r="E22" s="3" t="s">
        <v>79</v>
      </c>
      <c r="F22" s="3" t="s">
        <v>83</v>
      </c>
      <c r="G22" s="5" t="s">
        <v>49</v>
      </c>
      <c r="H22" s="5" t="s">
        <v>49</v>
      </c>
      <c r="I22" s="6">
        <v>45868</v>
      </c>
      <c r="J22" t="s">
        <v>49</v>
      </c>
      <c r="K22" t="s">
        <v>49</v>
      </c>
      <c r="L22" s="19">
        <f t="shared" si="2"/>
        <v>45960</v>
      </c>
      <c r="M22" s="6">
        <f t="shared" si="0"/>
        <v>45975.5</v>
      </c>
      <c r="N22" t="s">
        <v>49</v>
      </c>
      <c r="O22" t="s">
        <v>49</v>
      </c>
      <c r="P22">
        <v>0.5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s="3">
        <v>0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s="3">
        <v>0</v>
      </c>
      <c r="AQ22" t="s">
        <v>49</v>
      </c>
      <c r="AR22" t="s">
        <v>49</v>
      </c>
      <c r="AS22" t="s">
        <v>49</v>
      </c>
      <c r="AT22" t="s">
        <v>49</v>
      </c>
      <c r="AU22" s="5" t="s">
        <v>49</v>
      </c>
      <c r="AV22" t="s">
        <v>49</v>
      </c>
      <c r="AW22" t="s">
        <v>49</v>
      </c>
      <c r="AX22" t="s">
        <v>49</v>
      </c>
      <c r="AY22" t="s">
        <v>49</v>
      </c>
    </row>
    <row r="23" spans="1:51" ht="16.05" hidden="1" customHeight="1" x14ac:dyDescent="0.3">
      <c r="A23" s="2" t="s">
        <v>93</v>
      </c>
      <c r="B23" s="3" t="s">
        <v>476</v>
      </c>
      <c r="C23" s="4" t="s">
        <v>0</v>
      </c>
      <c r="D23" s="3" t="s">
        <v>55</v>
      </c>
      <c r="E23" s="3" t="s">
        <v>57</v>
      </c>
      <c r="F23" s="3" t="s">
        <v>94</v>
      </c>
      <c r="G23" s="5" t="s">
        <v>49</v>
      </c>
      <c r="H23" s="5" t="s">
        <v>49</v>
      </c>
      <c r="I23" s="6">
        <v>45763</v>
      </c>
      <c r="J23" t="s">
        <v>49</v>
      </c>
      <c r="K23" t="s">
        <v>49</v>
      </c>
      <c r="L23" s="19">
        <v>45748</v>
      </c>
      <c r="M23" s="6">
        <f t="shared" si="0"/>
        <v>45809</v>
      </c>
      <c r="N23" s="3" t="s">
        <v>95</v>
      </c>
      <c r="O23" s="3" t="s">
        <v>49</v>
      </c>
      <c r="P23">
        <v>2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s="3">
        <v>0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s="3">
        <v>0</v>
      </c>
      <c r="AQ23" t="s">
        <v>49</v>
      </c>
      <c r="AR23" t="s">
        <v>49</v>
      </c>
      <c r="AS23" t="s">
        <v>49</v>
      </c>
      <c r="AT23" t="s">
        <v>49</v>
      </c>
      <c r="AU23" s="5" t="s">
        <v>49</v>
      </c>
      <c r="AV23" t="s">
        <v>49</v>
      </c>
      <c r="AW23" t="s">
        <v>49</v>
      </c>
      <c r="AX23" t="s">
        <v>49</v>
      </c>
      <c r="AY23" t="s">
        <v>49</v>
      </c>
    </row>
    <row r="24" spans="1:51" ht="16.05" hidden="1" customHeight="1" x14ac:dyDescent="0.3">
      <c r="A24" s="2" t="s">
        <v>96</v>
      </c>
      <c r="B24" s="3" t="s">
        <v>97</v>
      </c>
      <c r="C24" s="4" t="s">
        <v>0</v>
      </c>
      <c r="D24" s="3" t="s">
        <v>67</v>
      </c>
      <c r="E24" s="3" t="s">
        <v>57</v>
      </c>
      <c r="F24" s="3" t="s">
        <v>83</v>
      </c>
      <c r="G24" s="5" t="s">
        <v>49</v>
      </c>
      <c r="H24" s="5" t="s">
        <v>49</v>
      </c>
      <c r="I24" s="6">
        <v>45056</v>
      </c>
      <c r="J24" t="s">
        <v>49</v>
      </c>
      <c r="K24" t="s">
        <v>49</v>
      </c>
      <c r="L24" s="19">
        <f t="shared" ref="L24:L62" si="3">EDATE(I24,3)</f>
        <v>45148</v>
      </c>
      <c r="M24" s="6">
        <f t="shared" si="0"/>
        <v>45163.5</v>
      </c>
      <c r="N24" t="s">
        <v>49</v>
      </c>
      <c r="O24" t="s">
        <v>49</v>
      </c>
      <c r="P24">
        <v>0.5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s="3">
        <v>0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s="3">
        <v>0</v>
      </c>
      <c r="AQ24" t="s">
        <v>49</v>
      </c>
      <c r="AR24" t="s">
        <v>49</v>
      </c>
      <c r="AS24" t="s">
        <v>49</v>
      </c>
      <c r="AT24" t="s">
        <v>49</v>
      </c>
      <c r="AU24" s="5" t="s">
        <v>49</v>
      </c>
      <c r="AV24" t="s">
        <v>49</v>
      </c>
      <c r="AW24" t="s">
        <v>49</v>
      </c>
      <c r="AX24" t="s">
        <v>49</v>
      </c>
      <c r="AY24" t="s">
        <v>49</v>
      </c>
    </row>
    <row r="25" spans="1:51" ht="16.05" hidden="1" customHeight="1" x14ac:dyDescent="0.3">
      <c r="A25" s="2" t="s">
        <v>98</v>
      </c>
      <c r="B25" s="3" t="s">
        <v>98</v>
      </c>
      <c r="C25" s="4" t="s">
        <v>0</v>
      </c>
      <c r="D25" s="3" t="s">
        <v>55</v>
      </c>
      <c r="E25" s="3" t="s">
        <v>57</v>
      </c>
      <c r="F25" s="3" t="s">
        <v>94</v>
      </c>
      <c r="G25" s="5" t="s">
        <v>49</v>
      </c>
      <c r="H25" s="5" t="s">
        <v>49</v>
      </c>
      <c r="I25" s="6">
        <v>45638</v>
      </c>
      <c r="J25" t="s">
        <v>49</v>
      </c>
      <c r="K25" t="s">
        <v>49</v>
      </c>
      <c r="L25" s="19">
        <f t="shared" si="3"/>
        <v>45728</v>
      </c>
      <c r="M25" s="6">
        <f t="shared" si="0"/>
        <v>45743.5</v>
      </c>
      <c r="N25" t="s">
        <v>49</v>
      </c>
      <c r="O25" t="s">
        <v>49</v>
      </c>
      <c r="P25">
        <v>0.5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s="3">
        <v>0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s="3">
        <v>0</v>
      </c>
      <c r="AQ25" t="s">
        <v>49</v>
      </c>
      <c r="AR25" t="s">
        <v>49</v>
      </c>
      <c r="AS25" t="s">
        <v>49</v>
      </c>
      <c r="AT25" t="s">
        <v>49</v>
      </c>
      <c r="AU25" s="5" t="s">
        <v>49</v>
      </c>
      <c r="AV25" t="s">
        <v>49</v>
      </c>
      <c r="AW25" t="s">
        <v>49</v>
      </c>
      <c r="AX25" t="s">
        <v>49</v>
      </c>
      <c r="AY25" t="s">
        <v>49</v>
      </c>
    </row>
    <row r="26" spans="1:51" ht="16.05" hidden="1" customHeight="1" x14ac:dyDescent="0.3">
      <c r="A26" s="2" t="s">
        <v>99</v>
      </c>
      <c r="B26" s="3" t="s">
        <v>100</v>
      </c>
      <c r="C26" s="4" t="s">
        <v>0</v>
      </c>
      <c r="D26" s="3" t="s">
        <v>101</v>
      </c>
      <c r="E26" s="3" t="s">
        <v>103</v>
      </c>
      <c r="F26" s="3" t="s">
        <v>102</v>
      </c>
      <c r="G26" s="5" t="s">
        <v>49</v>
      </c>
      <c r="H26" s="5" t="s">
        <v>49</v>
      </c>
      <c r="I26" s="6">
        <v>45798</v>
      </c>
      <c r="J26" s="3">
        <v>140000</v>
      </c>
      <c r="K26" t="s">
        <v>49</v>
      </c>
      <c r="L26" s="19">
        <f t="shared" si="3"/>
        <v>45890</v>
      </c>
      <c r="M26" s="6">
        <f t="shared" si="0"/>
        <v>45905.5</v>
      </c>
      <c r="N26" t="s">
        <v>49</v>
      </c>
      <c r="O26" t="s">
        <v>49</v>
      </c>
      <c r="P26">
        <v>0.5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s="3">
        <v>0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s="3">
        <v>0</v>
      </c>
      <c r="AQ26" t="s">
        <v>49</v>
      </c>
      <c r="AR26" t="s">
        <v>49</v>
      </c>
      <c r="AS26" t="s">
        <v>49</v>
      </c>
      <c r="AT26" t="s">
        <v>49</v>
      </c>
      <c r="AU26" s="5" t="s">
        <v>49</v>
      </c>
      <c r="AV26" t="s">
        <v>49</v>
      </c>
      <c r="AW26" t="s">
        <v>49</v>
      </c>
      <c r="AX26" t="s">
        <v>49</v>
      </c>
      <c r="AY26" t="s">
        <v>49</v>
      </c>
    </row>
    <row r="27" spans="1:51" ht="16.05" hidden="1" customHeight="1" x14ac:dyDescent="0.3">
      <c r="A27" s="2" t="s">
        <v>104</v>
      </c>
      <c r="B27" s="3" t="s">
        <v>100</v>
      </c>
      <c r="C27" s="4" t="s">
        <v>0</v>
      </c>
      <c r="D27" s="3" t="s">
        <v>101</v>
      </c>
      <c r="E27" s="3" t="s">
        <v>103</v>
      </c>
      <c r="F27" s="3" t="s">
        <v>102</v>
      </c>
      <c r="G27" s="5" t="s">
        <v>49</v>
      </c>
      <c r="H27" s="5" t="s">
        <v>49</v>
      </c>
      <c r="I27" s="6">
        <v>45798</v>
      </c>
      <c r="J27" s="3">
        <v>140000</v>
      </c>
      <c r="K27" t="s">
        <v>49</v>
      </c>
      <c r="L27" s="19">
        <f t="shared" si="3"/>
        <v>45890</v>
      </c>
      <c r="M27" s="6">
        <f t="shared" si="0"/>
        <v>45905.5</v>
      </c>
      <c r="N27" t="s">
        <v>49</v>
      </c>
      <c r="O27" t="s">
        <v>49</v>
      </c>
      <c r="P27">
        <v>0.5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s="3">
        <v>0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s="3">
        <v>0</v>
      </c>
      <c r="AQ27" t="s">
        <v>49</v>
      </c>
      <c r="AR27" t="s">
        <v>49</v>
      </c>
      <c r="AS27" t="s">
        <v>49</v>
      </c>
      <c r="AT27" t="s">
        <v>49</v>
      </c>
      <c r="AU27" s="5" t="s">
        <v>49</v>
      </c>
      <c r="AV27" t="s">
        <v>49</v>
      </c>
      <c r="AW27" t="s">
        <v>49</v>
      </c>
      <c r="AX27" t="s">
        <v>49</v>
      </c>
      <c r="AY27" t="s">
        <v>49</v>
      </c>
    </row>
    <row r="28" spans="1:51" ht="16.05" hidden="1" customHeight="1" x14ac:dyDescent="0.3">
      <c r="A28" s="2" t="s">
        <v>105</v>
      </c>
      <c r="B28" s="3" t="s">
        <v>105</v>
      </c>
      <c r="C28" s="4" t="s">
        <v>0</v>
      </c>
      <c r="D28" s="3" t="s">
        <v>101</v>
      </c>
      <c r="E28" s="3" t="s">
        <v>103</v>
      </c>
      <c r="F28" s="3" t="s">
        <v>106</v>
      </c>
      <c r="G28" s="5" t="s">
        <v>49</v>
      </c>
      <c r="H28" s="5" t="s">
        <v>49</v>
      </c>
      <c r="I28" s="6">
        <v>45708</v>
      </c>
      <c r="J28" s="3">
        <v>300000</v>
      </c>
      <c r="K28" t="s">
        <v>49</v>
      </c>
      <c r="L28" s="19">
        <f t="shared" si="3"/>
        <v>45797</v>
      </c>
      <c r="M28" s="6">
        <f t="shared" si="0"/>
        <v>45812.5</v>
      </c>
      <c r="N28" t="s">
        <v>49</v>
      </c>
      <c r="O28" t="s">
        <v>49</v>
      </c>
      <c r="P28">
        <v>0.5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s="3">
        <v>0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s="3">
        <v>0</v>
      </c>
      <c r="AQ28" t="s">
        <v>49</v>
      </c>
      <c r="AR28" t="s">
        <v>49</v>
      </c>
      <c r="AS28" t="s">
        <v>49</v>
      </c>
      <c r="AT28" t="s">
        <v>49</v>
      </c>
      <c r="AU28" s="5" t="s">
        <v>49</v>
      </c>
      <c r="AV28" t="s">
        <v>49</v>
      </c>
      <c r="AW28" t="s">
        <v>49</v>
      </c>
      <c r="AX28" t="s">
        <v>49</v>
      </c>
      <c r="AY28" t="s">
        <v>49</v>
      </c>
    </row>
    <row r="29" spans="1:51" ht="16.05" hidden="1" customHeight="1" x14ac:dyDescent="0.3">
      <c r="A29" s="2" t="s">
        <v>107</v>
      </c>
      <c r="B29" s="3" t="s">
        <v>107</v>
      </c>
      <c r="C29" s="4" t="s">
        <v>0</v>
      </c>
      <c r="D29" s="3" t="s">
        <v>101</v>
      </c>
      <c r="E29" s="3" t="s">
        <v>103</v>
      </c>
      <c r="F29" s="3" t="s">
        <v>106</v>
      </c>
      <c r="G29" s="5" t="s">
        <v>49</v>
      </c>
      <c r="H29" s="5" t="s">
        <v>49</v>
      </c>
      <c r="I29" s="6">
        <v>45449</v>
      </c>
      <c r="J29" s="3">
        <v>200000</v>
      </c>
      <c r="K29" t="s">
        <v>49</v>
      </c>
      <c r="L29" s="19">
        <f t="shared" si="3"/>
        <v>45541</v>
      </c>
      <c r="M29" s="6">
        <f t="shared" si="0"/>
        <v>45556</v>
      </c>
      <c r="N29" t="s">
        <v>49</v>
      </c>
      <c r="O29" t="s">
        <v>49</v>
      </c>
      <c r="P29">
        <v>0.5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s="3">
        <v>0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s="3">
        <v>0</v>
      </c>
      <c r="AQ29" t="s">
        <v>49</v>
      </c>
      <c r="AR29" t="s">
        <v>49</v>
      </c>
      <c r="AS29" t="s">
        <v>49</v>
      </c>
      <c r="AT29" t="s">
        <v>49</v>
      </c>
      <c r="AU29" s="5" t="s">
        <v>49</v>
      </c>
      <c r="AV29" t="s">
        <v>49</v>
      </c>
      <c r="AW29" t="s">
        <v>49</v>
      </c>
      <c r="AX29" t="s">
        <v>49</v>
      </c>
      <c r="AY29" t="s">
        <v>49</v>
      </c>
    </row>
    <row r="30" spans="1:51" ht="16.05" hidden="1" customHeight="1" x14ac:dyDescent="0.3">
      <c r="A30" s="2" t="s">
        <v>108</v>
      </c>
      <c r="B30" s="3" t="s">
        <v>478</v>
      </c>
      <c r="C30" s="4" t="s">
        <v>0</v>
      </c>
      <c r="D30" s="3" t="s">
        <v>50</v>
      </c>
      <c r="E30" s="3" t="s">
        <v>57</v>
      </c>
      <c r="F30" s="3" t="s">
        <v>83</v>
      </c>
      <c r="G30" s="5" t="s">
        <v>49</v>
      </c>
      <c r="H30" s="5" t="s">
        <v>49</v>
      </c>
      <c r="I30" s="6">
        <v>45734</v>
      </c>
      <c r="J30" t="s">
        <v>49</v>
      </c>
      <c r="K30" t="s">
        <v>49</v>
      </c>
      <c r="L30" s="19">
        <f t="shared" si="3"/>
        <v>45826</v>
      </c>
      <c r="M30" s="6">
        <f t="shared" si="0"/>
        <v>45841</v>
      </c>
      <c r="N30" t="s">
        <v>49</v>
      </c>
      <c r="O30" t="s">
        <v>49</v>
      </c>
      <c r="P30">
        <v>0.5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s="3">
        <v>0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s="3">
        <v>0</v>
      </c>
      <c r="AQ30" t="s">
        <v>49</v>
      </c>
      <c r="AR30" t="s">
        <v>49</v>
      </c>
      <c r="AS30" t="s">
        <v>49</v>
      </c>
      <c r="AT30" t="s">
        <v>49</v>
      </c>
      <c r="AU30" s="5" t="s">
        <v>49</v>
      </c>
      <c r="AV30" t="s">
        <v>49</v>
      </c>
      <c r="AW30" t="s">
        <v>49</v>
      </c>
      <c r="AX30" t="s">
        <v>49</v>
      </c>
      <c r="AY30" t="s">
        <v>49</v>
      </c>
    </row>
    <row r="31" spans="1:51" ht="16.05" hidden="1" customHeight="1" x14ac:dyDescent="0.3">
      <c r="A31" s="2" t="s">
        <v>109</v>
      </c>
      <c r="B31" s="3" t="s">
        <v>111</v>
      </c>
      <c r="C31" s="4" t="s">
        <v>0</v>
      </c>
      <c r="D31" s="3" t="s">
        <v>50</v>
      </c>
      <c r="E31" s="3" t="s">
        <v>53</v>
      </c>
      <c r="F31" s="3" t="s">
        <v>110</v>
      </c>
      <c r="G31" s="5" t="s">
        <v>49</v>
      </c>
      <c r="H31" s="5" t="s">
        <v>49</v>
      </c>
      <c r="I31" s="6">
        <v>45734</v>
      </c>
      <c r="J31" t="s">
        <v>49</v>
      </c>
      <c r="K31" t="s">
        <v>49</v>
      </c>
      <c r="L31" s="19">
        <f t="shared" si="3"/>
        <v>45826</v>
      </c>
      <c r="M31" s="6">
        <f t="shared" si="0"/>
        <v>45841</v>
      </c>
      <c r="N31" t="s">
        <v>49</v>
      </c>
      <c r="O31" t="s">
        <v>49</v>
      </c>
      <c r="P31">
        <v>0.5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s="3">
        <v>0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s="3">
        <v>0</v>
      </c>
      <c r="AQ31" t="s">
        <v>49</v>
      </c>
      <c r="AR31" t="s">
        <v>49</v>
      </c>
      <c r="AS31" t="s">
        <v>49</v>
      </c>
      <c r="AT31" t="s">
        <v>49</v>
      </c>
      <c r="AU31" s="5" t="s">
        <v>49</v>
      </c>
      <c r="AV31" t="s">
        <v>49</v>
      </c>
      <c r="AW31" t="s">
        <v>49</v>
      </c>
      <c r="AX31" t="s">
        <v>49</v>
      </c>
      <c r="AY31" t="s">
        <v>49</v>
      </c>
    </row>
    <row r="32" spans="1:51" ht="16.05" hidden="1" customHeight="1" x14ac:dyDescent="0.3">
      <c r="A32" s="2" t="s">
        <v>112</v>
      </c>
      <c r="B32" s="2" t="s">
        <v>112</v>
      </c>
      <c r="C32" s="4" t="s">
        <v>0</v>
      </c>
      <c r="D32" s="3" t="s">
        <v>50</v>
      </c>
      <c r="E32" s="3" t="s">
        <v>57</v>
      </c>
      <c r="F32" s="3" t="s">
        <v>83</v>
      </c>
      <c r="G32" s="5" t="s">
        <v>49</v>
      </c>
      <c r="H32" s="5" t="s">
        <v>49</v>
      </c>
      <c r="I32" s="6">
        <v>45768</v>
      </c>
      <c r="J32" t="s">
        <v>49</v>
      </c>
      <c r="K32" s="6">
        <v>45782</v>
      </c>
      <c r="L32" s="19">
        <f t="shared" si="3"/>
        <v>45859</v>
      </c>
      <c r="M32" s="6">
        <f t="shared" si="0"/>
        <v>45874.5</v>
      </c>
      <c r="N32" t="s">
        <v>49</v>
      </c>
      <c r="O32" t="s">
        <v>49</v>
      </c>
      <c r="P32">
        <v>0.5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s="3">
        <v>0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s="3">
        <v>0</v>
      </c>
      <c r="AQ32" t="s">
        <v>49</v>
      </c>
      <c r="AR32" t="s">
        <v>49</v>
      </c>
      <c r="AS32" t="s">
        <v>49</v>
      </c>
      <c r="AT32" t="s">
        <v>49</v>
      </c>
      <c r="AU32" s="5" t="s">
        <v>49</v>
      </c>
      <c r="AV32" t="s">
        <v>49</v>
      </c>
      <c r="AW32" t="s">
        <v>49</v>
      </c>
      <c r="AX32" t="s">
        <v>49</v>
      </c>
      <c r="AY32" t="s">
        <v>49</v>
      </c>
    </row>
    <row r="33" spans="1:51" ht="16.05" hidden="1" customHeight="1" x14ac:dyDescent="0.3">
      <c r="A33" s="2" t="s">
        <v>113</v>
      </c>
      <c r="B33" s="3" t="s">
        <v>114</v>
      </c>
      <c r="C33" s="4" t="s">
        <v>0</v>
      </c>
      <c r="D33" s="3" t="s">
        <v>67</v>
      </c>
      <c r="E33" s="3" t="s">
        <v>79</v>
      </c>
      <c r="F33" s="3" t="s">
        <v>91</v>
      </c>
      <c r="G33" s="5" t="s">
        <v>49</v>
      </c>
      <c r="H33" s="5" t="s">
        <v>49</v>
      </c>
      <c r="I33" s="6">
        <v>45804</v>
      </c>
      <c r="J33" s="3">
        <v>1000000</v>
      </c>
      <c r="K33" t="s">
        <v>49</v>
      </c>
      <c r="L33" s="19">
        <f t="shared" si="3"/>
        <v>45896</v>
      </c>
      <c r="M33" s="6">
        <f t="shared" si="0"/>
        <v>45911.5</v>
      </c>
      <c r="N33" t="s">
        <v>49</v>
      </c>
      <c r="O33" t="s">
        <v>49</v>
      </c>
      <c r="P33">
        <v>0.5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s="3">
        <v>0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s="3">
        <v>0</v>
      </c>
      <c r="AQ33" t="s">
        <v>49</v>
      </c>
      <c r="AR33" t="s">
        <v>49</v>
      </c>
      <c r="AS33" t="s">
        <v>49</v>
      </c>
      <c r="AT33" t="s">
        <v>49</v>
      </c>
      <c r="AU33" s="5" t="s">
        <v>49</v>
      </c>
      <c r="AV33" t="s">
        <v>49</v>
      </c>
      <c r="AW33" t="s">
        <v>49</v>
      </c>
      <c r="AX33" t="s">
        <v>49</v>
      </c>
      <c r="AY33" t="s">
        <v>49</v>
      </c>
    </row>
    <row r="34" spans="1:51" ht="16.05" hidden="1" customHeight="1" x14ac:dyDescent="0.3">
      <c r="A34" s="2" t="s">
        <v>115</v>
      </c>
      <c r="B34" s="21" t="s">
        <v>482</v>
      </c>
      <c r="C34" s="4" t="s">
        <v>0</v>
      </c>
      <c r="D34" s="3" t="s">
        <v>50</v>
      </c>
      <c r="E34" s="3" t="s">
        <v>57</v>
      </c>
      <c r="F34" s="3" t="s">
        <v>83</v>
      </c>
      <c r="G34" s="5" t="s">
        <v>49</v>
      </c>
      <c r="H34" s="5" t="s">
        <v>49</v>
      </c>
      <c r="I34" s="6">
        <v>45804</v>
      </c>
      <c r="J34" t="s">
        <v>49</v>
      </c>
      <c r="K34" t="s">
        <v>49</v>
      </c>
      <c r="L34" s="19">
        <f t="shared" si="3"/>
        <v>45896</v>
      </c>
      <c r="M34" s="6">
        <f t="shared" si="0"/>
        <v>45911.5</v>
      </c>
      <c r="N34" t="s">
        <v>49</v>
      </c>
      <c r="O34" t="s">
        <v>49</v>
      </c>
      <c r="P34">
        <v>0.5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s="3">
        <v>0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s="3">
        <v>0</v>
      </c>
      <c r="AQ34" t="s">
        <v>49</v>
      </c>
      <c r="AR34" t="s">
        <v>49</v>
      </c>
      <c r="AS34" t="s">
        <v>49</v>
      </c>
      <c r="AT34" t="s">
        <v>49</v>
      </c>
      <c r="AU34" s="5" t="s">
        <v>49</v>
      </c>
      <c r="AV34" t="s">
        <v>49</v>
      </c>
      <c r="AW34" t="s">
        <v>49</v>
      </c>
      <c r="AX34" t="s">
        <v>49</v>
      </c>
      <c r="AY34" t="s">
        <v>49</v>
      </c>
    </row>
    <row r="35" spans="1:51" ht="16.05" hidden="1" customHeight="1" x14ac:dyDescent="0.3">
      <c r="A35" s="2" t="s">
        <v>116</v>
      </c>
      <c r="B35" s="2" t="s">
        <v>481</v>
      </c>
      <c r="C35" s="4" t="s">
        <v>0</v>
      </c>
      <c r="D35" s="3" t="s">
        <v>50</v>
      </c>
      <c r="E35" s="3" t="s">
        <v>57</v>
      </c>
      <c r="F35" s="3" t="s">
        <v>83</v>
      </c>
      <c r="G35" s="5" t="s">
        <v>49</v>
      </c>
      <c r="H35" s="5" t="s">
        <v>49</v>
      </c>
      <c r="I35" s="6">
        <v>45804</v>
      </c>
      <c r="J35" t="s">
        <v>49</v>
      </c>
      <c r="K35" t="s">
        <v>49</v>
      </c>
      <c r="L35" s="19">
        <f t="shared" si="3"/>
        <v>45896</v>
      </c>
      <c r="M35" s="6">
        <f t="shared" si="0"/>
        <v>45911.5</v>
      </c>
      <c r="N35" t="s">
        <v>49</v>
      </c>
      <c r="O35" t="s">
        <v>49</v>
      </c>
      <c r="P35">
        <v>0.5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s="3">
        <v>0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s="3">
        <v>0</v>
      </c>
      <c r="AQ35" t="s">
        <v>49</v>
      </c>
      <c r="AR35" t="s">
        <v>49</v>
      </c>
      <c r="AS35" t="s">
        <v>49</v>
      </c>
      <c r="AT35" t="s">
        <v>49</v>
      </c>
      <c r="AU35" s="5" t="s">
        <v>49</v>
      </c>
      <c r="AV35" t="s">
        <v>49</v>
      </c>
      <c r="AW35" t="s">
        <v>49</v>
      </c>
      <c r="AX35" t="s">
        <v>49</v>
      </c>
      <c r="AY35" t="s">
        <v>49</v>
      </c>
    </row>
    <row r="36" spans="1:51" ht="16.05" hidden="1" customHeight="1" x14ac:dyDescent="0.3">
      <c r="A36" s="2" t="s">
        <v>117</v>
      </c>
      <c r="B36" s="2" t="s">
        <v>117</v>
      </c>
      <c r="C36" s="4" t="s">
        <v>0</v>
      </c>
      <c r="D36" s="3" t="s">
        <v>50</v>
      </c>
      <c r="E36" s="3" t="s">
        <v>57</v>
      </c>
      <c r="F36" s="3" t="s">
        <v>83</v>
      </c>
      <c r="G36" s="5" t="s">
        <v>49</v>
      </c>
      <c r="H36" s="5" t="s">
        <v>49</v>
      </c>
      <c r="I36" s="6">
        <v>45804</v>
      </c>
      <c r="J36" t="s">
        <v>49</v>
      </c>
      <c r="K36" t="s">
        <v>49</v>
      </c>
      <c r="L36" s="19">
        <f t="shared" si="3"/>
        <v>45896</v>
      </c>
      <c r="M36" s="6">
        <f t="shared" si="0"/>
        <v>45911.5</v>
      </c>
      <c r="N36" t="s">
        <v>49</v>
      </c>
      <c r="O36" t="s">
        <v>49</v>
      </c>
      <c r="P36">
        <v>0.5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s="3">
        <v>0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s="3">
        <v>0</v>
      </c>
      <c r="AQ36" t="s">
        <v>49</v>
      </c>
      <c r="AR36" t="s">
        <v>49</v>
      </c>
      <c r="AS36" t="s">
        <v>49</v>
      </c>
      <c r="AT36" t="s">
        <v>49</v>
      </c>
      <c r="AU36" s="5" t="s">
        <v>49</v>
      </c>
      <c r="AV36" t="s">
        <v>49</v>
      </c>
      <c r="AW36" t="s">
        <v>49</v>
      </c>
      <c r="AX36" t="s">
        <v>49</v>
      </c>
      <c r="AY36" t="s">
        <v>49</v>
      </c>
    </row>
    <row r="37" spans="1:51" ht="16.05" hidden="1" customHeight="1" x14ac:dyDescent="0.3">
      <c r="A37" s="2" t="s">
        <v>118</v>
      </c>
      <c r="B37" s="2" t="s">
        <v>118</v>
      </c>
      <c r="C37" s="4" t="s">
        <v>0</v>
      </c>
      <c r="D37" s="3" t="s">
        <v>67</v>
      </c>
      <c r="E37" s="3" t="s">
        <v>79</v>
      </c>
      <c r="F37" s="3" t="s">
        <v>91</v>
      </c>
      <c r="G37" s="5" t="s">
        <v>49</v>
      </c>
      <c r="H37" s="5" t="s">
        <v>49</v>
      </c>
      <c r="I37" s="6">
        <v>45890</v>
      </c>
      <c r="J37" t="s">
        <v>49</v>
      </c>
      <c r="K37" t="s">
        <v>49</v>
      </c>
      <c r="L37" s="19">
        <f t="shared" si="3"/>
        <v>45982</v>
      </c>
      <c r="M37" s="6">
        <f t="shared" si="0"/>
        <v>45997</v>
      </c>
      <c r="N37" t="s">
        <v>49</v>
      </c>
      <c r="O37" t="s">
        <v>49</v>
      </c>
      <c r="P37">
        <v>0.5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s="3">
        <v>0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s="3">
        <v>0</v>
      </c>
      <c r="AQ37" t="s">
        <v>49</v>
      </c>
      <c r="AR37" t="s">
        <v>49</v>
      </c>
      <c r="AS37" t="s">
        <v>49</v>
      </c>
      <c r="AT37" t="s">
        <v>49</v>
      </c>
      <c r="AU37" s="5" t="s">
        <v>49</v>
      </c>
      <c r="AV37" t="s">
        <v>49</v>
      </c>
      <c r="AW37" t="s">
        <v>49</v>
      </c>
      <c r="AX37" t="s">
        <v>49</v>
      </c>
      <c r="AY37" t="s">
        <v>49</v>
      </c>
    </row>
    <row r="38" spans="1:51" ht="16.05" hidden="1" customHeight="1" x14ac:dyDescent="0.3">
      <c r="A38" s="2" t="s">
        <v>119</v>
      </c>
      <c r="B38" s="3" t="s">
        <v>119</v>
      </c>
      <c r="C38" s="4" t="s">
        <v>0</v>
      </c>
      <c r="D38" s="3" t="s">
        <v>55</v>
      </c>
      <c r="E38" s="3" t="s">
        <v>57</v>
      </c>
      <c r="F38" s="3" t="s">
        <v>94</v>
      </c>
      <c r="G38" s="5" t="s">
        <v>49</v>
      </c>
      <c r="H38" s="5" t="s">
        <v>49</v>
      </c>
      <c r="I38" s="6">
        <v>45894</v>
      </c>
      <c r="J38" t="s">
        <v>49</v>
      </c>
      <c r="K38" t="s">
        <v>49</v>
      </c>
      <c r="L38" s="19">
        <f t="shared" si="3"/>
        <v>45986</v>
      </c>
      <c r="M38" s="6">
        <f t="shared" si="0"/>
        <v>46001</v>
      </c>
      <c r="N38" t="s">
        <v>49</v>
      </c>
      <c r="O38" t="s">
        <v>49</v>
      </c>
      <c r="P38">
        <v>0.5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s="3">
        <v>0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s="3">
        <v>0</v>
      </c>
      <c r="AQ38" t="s">
        <v>49</v>
      </c>
      <c r="AR38" t="s">
        <v>49</v>
      </c>
      <c r="AS38" t="s">
        <v>49</v>
      </c>
      <c r="AT38" t="s">
        <v>49</v>
      </c>
      <c r="AU38" s="5" t="s">
        <v>49</v>
      </c>
      <c r="AV38" t="s">
        <v>49</v>
      </c>
      <c r="AW38" t="s">
        <v>49</v>
      </c>
      <c r="AX38" t="s">
        <v>49</v>
      </c>
      <c r="AY38" t="s">
        <v>49</v>
      </c>
    </row>
    <row r="39" spans="1:51" ht="16.05" hidden="1" customHeight="1" x14ac:dyDescent="0.3">
      <c r="A39" s="2" t="s">
        <v>120</v>
      </c>
      <c r="B39" s="3" t="s">
        <v>203</v>
      </c>
      <c r="C39" s="4" t="s">
        <v>0</v>
      </c>
      <c r="D39" s="3" t="s">
        <v>55</v>
      </c>
      <c r="E39" s="3" t="s">
        <v>57</v>
      </c>
      <c r="F39" s="3" t="s">
        <v>121</v>
      </c>
      <c r="G39" s="5" t="s">
        <v>49</v>
      </c>
      <c r="H39" s="5" t="s">
        <v>49</v>
      </c>
      <c r="I39" s="6">
        <v>45932</v>
      </c>
      <c r="J39" t="s">
        <v>49</v>
      </c>
      <c r="K39" t="s">
        <v>49</v>
      </c>
      <c r="L39" s="19">
        <f t="shared" si="3"/>
        <v>46024</v>
      </c>
      <c r="M39" s="6">
        <f t="shared" si="0"/>
        <v>46039.5</v>
      </c>
      <c r="N39" t="s">
        <v>49</v>
      </c>
      <c r="O39" t="s">
        <v>49</v>
      </c>
      <c r="P39">
        <v>0.5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s="3">
        <v>0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s="3">
        <v>0</v>
      </c>
      <c r="AQ39" t="s">
        <v>49</v>
      </c>
      <c r="AR39" t="s">
        <v>49</v>
      </c>
      <c r="AS39" t="s">
        <v>49</v>
      </c>
      <c r="AT39" t="s">
        <v>49</v>
      </c>
      <c r="AU39" s="5" t="s">
        <v>49</v>
      </c>
      <c r="AV39" t="s">
        <v>49</v>
      </c>
      <c r="AW39" t="s">
        <v>49</v>
      </c>
      <c r="AX39" t="s">
        <v>49</v>
      </c>
      <c r="AY39" t="s">
        <v>49</v>
      </c>
    </row>
    <row r="40" spans="1:51" ht="16.05" hidden="1" customHeight="1" x14ac:dyDescent="0.3">
      <c r="A40" s="2" t="s">
        <v>122</v>
      </c>
      <c r="B40" s="3" t="s">
        <v>123</v>
      </c>
      <c r="C40" s="4" t="s">
        <v>0</v>
      </c>
      <c r="D40" s="3" t="s">
        <v>101</v>
      </c>
      <c r="E40" s="3" t="s">
        <v>103</v>
      </c>
      <c r="F40" s="3" t="s">
        <v>106</v>
      </c>
      <c r="G40" s="5" t="s">
        <v>49</v>
      </c>
      <c r="H40" s="5" t="s">
        <v>49</v>
      </c>
      <c r="I40" s="6">
        <v>45708</v>
      </c>
      <c r="J40" s="3">
        <v>50000</v>
      </c>
      <c r="K40" t="s">
        <v>49</v>
      </c>
      <c r="L40" s="19">
        <f t="shared" si="3"/>
        <v>45797</v>
      </c>
      <c r="M40" s="6">
        <f t="shared" si="0"/>
        <v>45812.5</v>
      </c>
      <c r="N40" t="s">
        <v>49</v>
      </c>
      <c r="O40" t="s">
        <v>49</v>
      </c>
      <c r="P40">
        <v>0.5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s="3">
        <v>25000</v>
      </c>
      <c r="Z40" s="3">
        <v>25000</v>
      </c>
      <c r="AA40" t="s">
        <v>49</v>
      </c>
      <c r="AB40" t="s">
        <v>49</v>
      </c>
      <c r="AC40" s="3">
        <v>50000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s="3">
        <v>0</v>
      </c>
      <c r="AQ40" t="s">
        <v>49</v>
      </c>
      <c r="AR40" t="s">
        <v>49</v>
      </c>
      <c r="AS40" t="s">
        <v>49</v>
      </c>
      <c r="AT40" t="s">
        <v>49</v>
      </c>
      <c r="AU40" s="5" t="s">
        <v>49</v>
      </c>
      <c r="AV40" t="s">
        <v>49</v>
      </c>
      <c r="AW40" t="s">
        <v>49</v>
      </c>
      <c r="AX40" t="s">
        <v>49</v>
      </c>
      <c r="AY40" t="s">
        <v>49</v>
      </c>
    </row>
    <row r="41" spans="1:51" ht="16.05" hidden="1" customHeight="1" x14ac:dyDescent="0.3">
      <c r="A41" s="2" t="s">
        <v>124</v>
      </c>
      <c r="B41" s="3" t="s">
        <v>125</v>
      </c>
      <c r="C41" s="4" t="s">
        <v>0</v>
      </c>
      <c r="D41" s="3" t="s">
        <v>101</v>
      </c>
      <c r="E41" s="3" t="s">
        <v>103</v>
      </c>
      <c r="F41" s="3" t="s">
        <v>106</v>
      </c>
      <c r="G41" s="5" t="s">
        <v>49</v>
      </c>
      <c r="H41" s="5" t="s">
        <v>49</v>
      </c>
      <c r="I41" s="6">
        <v>45796</v>
      </c>
      <c r="J41" s="3">
        <v>200000</v>
      </c>
      <c r="K41" t="s">
        <v>49</v>
      </c>
      <c r="L41" s="19">
        <f t="shared" si="3"/>
        <v>45888</v>
      </c>
      <c r="M41" s="6">
        <f t="shared" si="0"/>
        <v>45903.5</v>
      </c>
      <c r="N41" t="s">
        <v>49</v>
      </c>
      <c r="O41" t="s">
        <v>49</v>
      </c>
      <c r="P41">
        <v>0.5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s="3">
        <v>100000</v>
      </c>
      <c r="X41" s="3">
        <v>100000</v>
      </c>
      <c r="Y41" s="3">
        <v>100000</v>
      </c>
      <c r="Z41" t="s">
        <v>49</v>
      </c>
      <c r="AA41" t="s">
        <v>49</v>
      </c>
      <c r="AB41" t="s">
        <v>49</v>
      </c>
      <c r="AC41" s="3">
        <v>300000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s="3">
        <v>0</v>
      </c>
      <c r="AQ41" t="s">
        <v>49</v>
      </c>
      <c r="AR41" t="s">
        <v>49</v>
      </c>
      <c r="AS41" t="s">
        <v>49</v>
      </c>
      <c r="AT41" t="s">
        <v>49</v>
      </c>
      <c r="AU41" s="5" t="s">
        <v>49</v>
      </c>
      <c r="AV41" t="s">
        <v>49</v>
      </c>
      <c r="AW41" t="s">
        <v>49</v>
      </c>
      <c r="AX41" t="s">
        <v>49</v>
      </c>
      <c r="AY41" t="s">
        <v>49</v>
      </c>
    </row>
    <row r="42" spans="1:51" ht="16.05" hidden="1" customHeight="1" x14ac:dyDescent="0.3">
      <c r="A42" s="2" t="s">
        <v>126</v>
      </c>
      <c r="B42" s="3" t="s">
        <v>100</v>
      </c>
      <c r="C42" s="4" t="s">
        <v>0</v>
      </c>
      <c r="D42" s="3" t="s">
        <v>101</v>
      </c>
      <c r="E42" s="3" t="s">
        <v>103</v>
      </c>
      <c r="F42" s="3" t="s">
        <v>102</v>
      </c>
      <c r="G42" s="5" t="s">
        <v>49</v>
      </c>
      <c r="H42" s="5" t="s">
        <v>49</v>
      </c>
      <c r="I42" s="6">
        <v>46042</v>
      </c>
      <c r="J42" s="3">
        <v>140000</v>
      </c>
      <c r="K42" t="s">
        <v>49</v>
      </c>
      <c r="L42" s="19">
        <f t="shared" si="3"/>
        <v>46132</v>
      </c>
      <c r="M42" s="6">
        <f t="shared" si="0"/>
        <v>46147</v>
      </c>
      <c r="N42" t="s">
        <v>49</v>
      </c>
      <c r="O42" t="s">
        <v>49</v>
      </c>
      <c r="P42">
        <v>0.5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s="3">
        <v>0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s="3">
        <v>0</v>
      </c>
      <c r="AQ42" t="s">
        <v>49</v>
      </c>
      <c r="AR42" t="s">
        <v>49</v>
      </c>
      <c r="AS42" t="s">
        <v>49</v>
      </c>
      <c r="AT42" t="s">
        <v>49</v>
      </c>
      <c r="AU42" s="5" t="s">
        <v>49</v>
      </c>
      <c r="AV42" t="s">
        <v>49</v>
      </c>
      <c r="AW42" t="s">
        <v>49</v>
      </c>
      <c r="AX42" t="s">
        <v>49</v>
      </c>
      <c r="AY42" t="s">
        <v>49</v>
      </c>
    </row>
    <row r="43" spans="1:51" ht="16.05" hidden="1" customHeight="1" x14ac:dyDescent="0.3">
      <c r="A43" s="2" t="s">
        <v>127</v>
      </c>
      <c r="B43" s="3" t="s">
        <v>127</v>
      </c>
      <c r="C43" s="4" t="s">
        <v>0</v>
      </c>
      <c r="D43" s="3" t="s">
        <v>55</v>
      </c>
      <c r="E43" s="3" t="s">
        <v>57</v>
      </c>
      <c r="F43" s="3" t="s">
        <v>56</v>
      </c>
      <c r="G43" s="5" t="s">
        <v>49</v>
      </c>
      <c r="H43" s="5" t="s">
        <v>49</v>
      </c>
      <c r="I43" s="6">
        <v>46069</v>
      </c>
      <c r="J43" t="s">
        <v>49</v>
      </c>
      <c r="K43" t="s">
        <v>49</v>
      </c>
      <c r="L43" s="19">
        <f t="shared" si="3"/>
        <v>46158</v>
      </c>
      <c r="M43" s="6">
        <f t="shared" si="0"/>
        <v>46173.5</v>
      </c>
      <c r="N43" t="s">
        <v>49</v>
      </c>
      <c r="O43" t="s">
        <v>49</v>
      </c>
      <c r="P43">
        <v>0.5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s="3">
        <v>0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s="3">
        <v>0</v>
      </c>
      <c r="AQ43" t="s">
        <v>49</v>
      </c>
      <c r="AR43" t="s">
        <v>49</v>
      </c>
      <c r="AS43" t="s">
        <v>49</v>
      </c>
      <c r="AT43" t="s">
        <v>49</v>
      </c>
      <c r="AU43" s="5" t="s">
        <v>49</v>
      </c>
      <c r="AV43" t="s">
        <v>49</v>
      </c>
      <c r="AW43" t="s">
        <v>49</v>
      </c>
      <c r="AX43" t="s">
        <v>49</v>
      </c>
      <c r="AY43" t="s">
        <v>49</v>
      </c>
    </row>
    <row r="44" spans="1:51" ht="16.05" hidden="1" customHeight="1" x14ac:dyDescent="0.3">
      <c r="A44" s="2" t="s">
        <v>128</v>
      </c>
      <c r="B44" s="3" t="s">
        <v>129</v>
      </c>
      <c r="C44" s="4" t="s">
        <v>0</v>
      </c>
      <c r="D44" s="3" t="s">
        <v>55</v>
      </c>
      <c r="E44" s="3" t="s">
        <v>57</v>
      </c>
      <c r="F44" s="3" t="s">
        <v>56</v>
      </c>
      <c r="G44" s="5" t="s">
        <v>49</v>
      </c>
      <c r="H44" s="5" t="s">
        <v>49</v>
      </c>
      <c r="I44" s="6">
        <v>46069</v>
      </c>
      <c r="J44" t="s">
        <v>49</v>
      </c>
      <c r="K44" t="s">
        <v>49</v>
      </c>
      <c r="L44" s="19">
        <f t="shared" si="3"/>
        <v>46158</v>
      </c>
      <c r="M44" s="6">
        <f t="shared" si="0"/>
        <v>46173.5</v>
      </c>
      <c r="N44" t="s">
        <v>49</v>
      </c>
      <c r="O44" t="s">
        <v>49</v>
      </c>
      <c r="P44">
        <v>0.5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s="3">
        <v>0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s="3">
        <v>0</v>
      </c>
      <c r="AQ44" t="s">
        <v>49</v>
      </c>
      <c r="AR44" t="s">
        <v>49</v>
      </c>
      <c r="AS44" t="s">
        <v>49</v>
      </c>
      <c r="AT44" t="s">
        <v>49</v>
      </c>
      <c r="AU44" s="5" t="s">
        <v>49</v>
      </c>
      <c r="AV44" t="s">
        <v>49</v>
      </c>
      <c r="AW44" t="s">
        <v>49</v>
      </c>
      <c r="AX44" t="s">
        <v>49</v>
      </c>
      <c r="AY44" t="s">
        <v>49</v>
      </c>
    </row>
    <row r="45" spans="1:51" ht="16.05" hidden="1" customHeight="1" x14ac:dyDescent="0.3">
      <c r="A45" s="2" t="s">
        <v>130</v>
      </c>
      <c r="B45" s="3" t="s">
        <v>131</v>
      </c>
      <c r="C45" s="4" t="s">
        <v>0</v>
      </c>
      <c r="D45" s="3" t="s">
        <v>101</v>
      </c>
      <c r="E45" s="3" t="s">
        <v>103</v>
      </c>
      <c r="F45" s="3" t="s">
        <v>106</v>
      </c>
      <c r="G45" s="10" t="s">
        <v>132</v>
      </c>
      <c r="H45" s="10" t="s">
        <v>133</v>
      </c>
      <c r="I45" s="6">
        <v>46111</v>
      </c>
      <c r="J45" s="3">
        <v>250000</v>
      </c>
      <c r="K45" t="s">
        <v>49</v>
      </c>
      <c r="L45" s="19">
        <f t="shared" si="3"/>
        <v>46203</v>
      </c>
      <c r="M45" s="6">
        <f t="shared" si="0"/>
        <v>46218</v>
      </c>
      <c r="N45" t="s">
        <v>49</v>
      </c>
      <c r="O45" t="s">
        <v>49</v>
      </c>
      <c r="P45">
        <v>0.5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s="3">
        <v>0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s="3">
        <v>0</v>
      </c>
      <c r="AQ45" t="s">
        <v>49</v>
      </c>
      <c r="AR45" t="s">
        <v>49</v>
      </c>
      <c r="AS45" t="s">
        <v>49</v>
      </c>
      <c r="AT45" t="s">
        <v>49</v>
      </c>
      <c r="AU45" s="5" t="s">
        <v>49</v>
      </c>
      <c r="AV45" t="s">
        <v>49</v>
      </c>
      <c r="AW45" t="s">
        <v>49</v>
      </c>
      <c r="AX45" t="s">
        <v>49</v>
      </c>
      <c r="AY45" t="s">
        <v>49</v>
      </c>
    </row>
    <row r="46" spans="1:51" ht="16.05" hidden="1" customHeight="1" x14ac:dyDescent="0.3">
      <c r="A46" s="2" t="s">
        <v>134</v>
      </c>
      <c r="B46" s="3" t="s">
        <v>131</v>
      </c>
      <c r="C46" s="4" t="s">
        <v>0</v>
      </c>
      <c r="D46" s="3" t="s">
        <v>101</v>
      </c>
      <c r="E46" s="3" t="s">
        <v>103</v>
      </c>
      <c r="F46" s="3" t="s">
        <v>106</v>
      </c>
      <c r="G46" s="9" t="s">
        <v>135</v>
      </c>
      <c r="H46" s="10" t="s">
        <v>133</v>
      </c>
      <c r="I46" s="6">
        <v>46111</v>
      </c>
      <c r="J46" s="3">
        <v>250000</v>
      </c>
      <c r="K46" t="s">
        <v>49</v>
      </c>
      <c r="L46" s="19">
        <f t="shared" si="3"/>
        <v>46203</v>
      </c>
      <c r="M46" s="6">
        <f t="shared" si="0"/>
        <v>46218</v>
      </c>
      <c r="N46" t="s">
        <v>49</v>
      </c>
      <c r="O46" t="s">
        <v>49</v>
      </c>
      <c r="P46">
        <v>0.5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s="3">
        <v>0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s="3">
        <v>0</v>
      </c>
      <c r="AQ46" t="s">
        <v>49</v>
      </c>
      <c r="AR46" t="s">
        <v>49</v>
      </c>
      <c r="AS46" t="s">
        <v>49</v>
      </c>
      <c r="AT46" t="s">
        <v>49</v>
      </c>
      <c r="AU46" s="5" t="s">
        <v>49</v>
      </c>
      <c r="AV46" t="s">
        <v>49</v>
      </c>
      <c r="AW46" t="s">
        <v>49</v>
      </c>
      <c r="AX46" t="s">
        <v>49</v>
      </c>
      <c r="AY46" t="s">
        <v>49</v>
      </c>
    </row>
    <row r="47" spans="1:51" ht="16.05" hidden="1" customHeight="1" x14ac:dyDescent="0.3">
      <c r="A47" s="2" t="s">
        <v>136</v>
      </c>
      <c r="B47" s="3" t="s">
        <v>137</v>
      </c>
      <c r="C47" s="4" t="s">
        <v>0</v>
      </c>
      <c r="D47" s="3" t="s">
        <v>101</v>
      </c>
      <c r="E47" s="3" t="s">
        <v>103</v>
      </c>
      <c r="F47" s="3" t="s">
        <v>106</v>
      </c>
      <c r="G47" s="9" t="s">
        <v>135</v>
      </c>
      <c r="H47" s="10" t="s">
        <v>133</v>
      </c>
      <c r="I47" s="6">
        <v>46111</v>
      </c>
      <c r="J47" s="3">
        <v>250000</v>
      </c>
      <c r="K47" t="s">
        <v>49</v>
      </c>
      <c r="L47" s="19">
        <f t="shared" si="3"/>
        <v>46203</v>
      </c>
      <c r="M47" s="6">
        <f t="shared" si="0"/>
        <v>46218</v>
      </c>
      <c r="N47" t="s">
        <v>49</v>
      </c>
      <c r="O47" t="s">
        <v>49</v>
      </c>
      <c r="P47">
        <v>0.5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s="3">
        <v>0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s="3">
        <v>0</v>
      </c>
      <c r="AQ47" t="s">
        <v>49</v>
      </c>
      <c r="AR47" t="s">
        <v>49</v>
      </c>
      <c r="AS47" t="s">
        <v>49</v>
      </c>
      <c r="AT47" t="s">
        <v>49</v>
      </c>
      <c r="AU47" s="5" t="s">
        <v>49</v>
      </c>
      <c r="AV47" t="s">
        <v>49</v>
      </c>
      <c r="AW47" t="s">
        <v>49</v>
      </c>
      <c r="AX47" t="s">
        <v>49</v>
      </c>
      <c r="AY47" t="s">
        <v>49</v>
      </c>
    </row>
    <row r="48" spans="1:51" ht="16.05" hidden="1" customHeight="1" x14ac:dyDescent="0.3">
      <c r="A48" s="2" t="s">
        <v>138</v>
      </c>
      <c r="B48" s="3" t="s">
        <v>137</v>
      </c>
      <c r="C48" s="4" t="s">
        <v>0</v>
      </c>
      <c r="D48" s="3" t="s">
        <v>101</v>
      </c>
      <c r="E48" s="3" t="s">
        <v>103</v>
      </c>
      <c r="F48" s="3" t="s">
        <v>106</v>
      </c>
      <c r="G48" s="10" t="s">
        <v>132</v>
      </c>
      <c r="H48" s="10" t="s">
        <v>133</v>
      </c>
      <c r="I48" s="6">
        <v>46111</v>
      </c>
      <c r="J48" s="3">
        <v>250000</v>
      </c>
      <c r="K48" t="s">
        <v>49</v>
      </c>
      <c r="L48" s="19">
        <f t="shared" si="3"/>
        <v>46203</v>
      </c>
      <c r="M48" s="6">
        <f t="shared" si="0"/>
        <v>46218</v>
      </c>
      <c r="N48" t="s">
        <v>49</v>
      </c>
      <c r="O48" t="s">
        <v>49</v>
      </c>
      <c r="P48">
        <v>0.5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s="3">
        <v>0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s="3">
        <v>0</v>
      </c>
      <c r="AQ48" t="s">
        <v>49</v>
      </c>
      <c r="AR48" t="s">
        <v>49</v>
      </c>
      <c r="AS48" t="s">
        <v>49</v>
      </c>
      <c r="AT48" t="s">
        <v>49</v>
      </c>
      <c r="AU48" s="5" t="s">
        <v>49</v>
      </c>
      <c r="AV48" t="s">
        <v>49</v>
      </c>
      <c r="AW48" t="s">
        <v>49</v>
      </c>
      <c r="AX48" t="s">
        <v>49</v>
      </c>
      <c r="AY48" t="s">
        <v>49</v>
      </c>
    </row>
    <row r="49" spans="1:51" ht="16.05" hidden="1" customHeight="1" x14ac:dyDescent="0.3">
      <c r="A49" s="2" t="s">
        <v>139</v>
      </c>
      <c r="B49" s="3" t="s">
        <v>140</v>
      </c>
      <c r="C49" s="4" t="s">
        <v>0</v>
      </c>
      <c r="D49" s="3" t="s">
        <v>101</v>
      </c>
      <c r="E49" s="3" t="s">
        <v>103</v>
      </c>
      <c r="F49" s="3" t="s">
        <v>106</v>
      </c>
      <c r="G49" s="11" t="s">
        <v>141</v>
      </c>
      <c r="H49" s="9" t="s">
        <v>70</v>
      </c>
      <c r="I49" s="6">
        <v>46111</v>
      </c>
      <c r="J49" s="3">
        <v>100000</v>
      </c>
      <c r="K49" t="s">
        <v>49</v>
      </c>
      <c r="L49" s="19">
        <f t="shared" si="3"/>
        <v>46203</v>
      </c>
      <c r="M49" s="6">
        <f t="shared" si="0"/>
        <v>46218</v>
      </c>
      <c r="N49" t="s">
        <v>49</v>
      </c>
      <c r="O49" t="s">
        <v>49</v>
      </c>
      <c r="P49">
        <v>0.5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s="3">
        <v>0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s="3">
        <v>0</v>
      </c>
      <c r="AQ49" t="s">
        <v>49</v>
      </c>
      <c r="AR49" t="s">
        <v>49</v>
      </c>
      <c r="AS49" t="s">
        <v>49</v>
      </c>
      <c r="AT49" t="s">
        <v>49</v>
      </c>
      <c r="AU49" s="5" t="s">
        <v>49</v>
      </c>
      <c r="AV49" t="s">
        <v>49</v>
      </c>
      <c r="AW49" t="s">
        <v>49</v>
      </c>
      <c r="AX49" t="s">
        <v>49</v>
      </c>
      <c r="AY49" t="s">
        <v>49</v>
      </c>
    </row>
    <row r="50" spans="1:51" ht="16.05" hidden="1" customHeight="1" x14ac:dyDescent="0.3">
      <c r="A50" s="2" t="s">
        <v>142</v>
      </c>
      <c r="B50" s="3" t="s">
        <v>143</v>
      </c>
      <c r="C50" s="4" t="s">
        <v>0</v>
      </c>
      <c r="D50" s="3" t="s">
        <v>101</v>
      </c>
      <c r="E50" s="3" t="s">
        <v>103</v>
      </c>
      <c r="F50" s="3" t="s">
        <v>106</v>
      </c>
      <c r="G50" s="9" t="s">
        <v>135</v>
      </c>
      <c r="H50" s="10" t="s">
        <v>133</v>
      </c>
      <c r="I50" s="6">
        <v>46111</v>
      </c>
      <c r="J50" s="3">
        <v>250000</v>
      </c>
      <c r="K50" t="s">
        <v>49</v>
      </c>
      <c r="L50" s="19">
        <f t="shared" si="3"/>
        <v>46203</v>
      </c>
      <c r="M50" s="6">
        <f t="shared" si="0"/>
        <v>46218</v>
      </c>
      <c r="N50" t="s">
        <v>49</v>
      </c>
      <c r="O50" t="s">
        <v>49</v>
      </c>
      <c r="P50">
        <v>0.5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s="3">
        <v>0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s="3">
        <v>0</v>
      </c>
      <c r="AQ50" t="s">
        <v>49</v>
      </c>
      <c r="AR50" t="s">
        <v>49</v>
      </c>
      <c r="AS50" t="s">
        <v>49</v>
      </c>
      <c r="AT50" t="s">
        <v>49</v>
      </c>
      <c r="AU50" s="5" t="s">
        <v>49</v>
      </c>
      <c r="AV50" t="s">
        <v>49</v>
      </c>
      <c r="AW50" t="s">
        <v>49</v>
      </c>
      <c r="AX50" t="s">
        <v>49</v>
      </c>
      <c r="AY50" t="s">
        <v>49</v>
      </c>
    </row>
    <row r="51" spans="1:51" ht="16.05" hidden="1" customHeight="1" x14ac:dyDescent="0.3">
      <c r="A51" s="2" t="s">
        <v>144</v>
      </c>
      <c r="B51" s="3" t="s">
        <v>145</v>
      </c>
      <c r="C51" s="4" t="s">
        <v>0</v>
      </c>
      <c r="D51" s="3" t="s">
        <v>101</v>
      </c>
      <c r="E51" s="3" t="s">
        <v>103</v>
      </c>
      <c r="F51" s="3" t="s">
        <v>106</v>
      </c>
      <c r="G51" s="9" t="s">
        <v>135</v>
      </c>
      <c r="H51" s="10" t="s">
        <v>133</v>
      </c>
      <c r="I51" s="6">
        <v>46111</v>
      </c>
      <c r="J51" s="3">
        <v>250000</v>
      </c>
      <c r="K51" t="s">
        <v>49</v>
      </c>
      <c r="L51" s="19">
        <f t="shared" si="3"/>
        <v>46203</v>
      </c>
      <c r="M51" s="6">
        <f t="shared" si="0"/>
        <v>46218</v>
      </c>
      <c r="N51" t="s">
        <v>49</v>
      </c>
      <c r="O51" t="s">
        <v>49</v>
      </c>
      <c r="P51">
        <v>0.5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s="3">
        <v>0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s="3">
        <v>0</v>
      </c>
      <c r="AQ51" t="s">
        <v>49</v>
      </c>
      <c r="AR51" t="s">
        <v>49</v>
      </c>
      <c r="AS51" t="s">
        <v>49</v>
      </c>
      <c r="AT51" t="s">
        <v>49</v>
      </c>
      <c r="AU51" s="5" t="s">
        <v>49</v>
      </c>
      <c r="AV51" t="s">
        <v>49</v>
      </c>
      <c r="AW51" t="s">
        <v>49</v>
      </c>
      <c r="AX51" t="s">
        <v>49</v>
      </c>
      <c r="AY51" t="s">
        <v>49</v>
      </c>
    </row>
    <row r="52" spans="1:51" ht="16.05" hidden="1" customHeight="1" x14ac:dyDescent="0.3">
      <c r="A52" s="2" t="s">
        <v>146</v>
      </c>
      <c r="B52" s="3" t="s">
        <v>147</v>
      </c>
      <c r="C52" s="4" t="s">
        <v>0</v>
      </c>
      <c r="D52" s="3" t="s">
        <v>101</v>
      </c>
      <c r="E52" s="3" t="s">
        <v>103</v>
      </c>
      <c r="F52" s="3" t="s">
        <v>106</v>
      </c>
      <c r="G52" s="10" t="s">
        <v>132</v>
      </c>
      <c r="H52" s="10" t="s">
        <v>133</v>
      </c>
      <c r="I52" s="6">
        <v>46111</v>
      </c>
      <c r="J52" s="3">
        <v>500000</v>
      </c>
      <c r="K52" t="s">
        <v>49</v>
      </c>
      <c r="L52" s="19">
        <f t="shared" si="3"/>
        <v>46203</v>
      </c>
      <c r="M52" s="6">
        <f t="shared" si="0"/>
        <v>46218</v>
      </c>
      <c r="N52" t="s">
        <v>49</v>
      </c>
      <c r="O52" t="s">
        <v>49</v>
      </c>
      <c r="P52">
        <v>0.5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s="3">
        <v>0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s="3">
        <v>0</v>
      </c>
      <c r="AQ52" t="s">
        <v>49</v>
      </c>
      <c r="AR52" t="s">
        <v>49</v>
      </c>
      <c r="AS52" t="s">
        <v>49</v>
      </c>
      <c r="AT52" t="s">
        <v>49</v>
      </c>
      <c r="AU52" s="5" t="s">
        <v>49</v>
      </c>
      <c r="AV52" t="s">
        <v>49</v>
      </c>
      <c r="AW52" t="s">
        <v>49</v>
      </c>
      <c r="AX52" t="s">
        <v>49</v>
      </c>
      <c r="AY52" t="s">
        <v>49</v>
      </c>
    </row>
    <row r="53" spans="1:51" ht="16.05" hidden="1" customHeight="1" x14ac:dyDescent="0.3">
      <c r="A53" s="2" t="s">
        <v>148</v>
      </c>
      <c r="B53" s="3" t="s">
        <v>149</v>
      </c>
      <c r="C53" s="4" t="s">
        <v>0</v>
      </c>
      <c r="D53" s="3" t="s">
        <v>101</v>
      </c>
      <c r="E53" s="3" t="s">
        <v>103</v>
      </c>
      <c r="F53" s="3" t="s">
        <v>106</v>
      </c>
      <c r="G53" s="9" t="s">
        <v>135</v>
      </c>
      <c r="H53" s="9" t="s">
        <v>70</v>
      </c>
      <c r="I53" s="6">
        <v>46111</v>
      </c>
      <c r="J53" s="3">
        <v>250000</v>
      </c>
      <c r="K53" t="s">
        <v>49</v>
      </c>
      <c r="L53" s="19">
        <f t="shared" si="3"/>
        <v>46203</v>
      </c>
      <c r="M53" s="6">
        <f t="shared" si="0"/>
        <v>46218</v>
      </c>
      <c r="N53" t="s">
        <v>49</v>
      </c>
      <c r="O53" t="s">
        <v>49</v>
      </c>
      <c r="P53">
        <v>0.5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s="3">
        <v>0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s="3">
        <v>0</v>
      </c>
      <c r="AQ53" t="s">
        <v>49</v>
      </c>
      <c r="AR53" t="s">
        <v>49</v>
      </c>
      <c r="AS53" t="s">
        <v>49</v>
      </c>
      <c r="AT53" t="s">
        <v>49</v>
      </c>
      <c r="AU53" s="5" t="s">
        <v>49</v>
      </c>
      <c r="AV53" t="s">
        <v>49</v>
      </c>
      <c r="AW53" t="s">
        <v>49</v>
      </c>
      <c r="AX53" t="s">
        <v>49</v>
      </c>
      <c r="AY53" t="s">
        <v>49</v>
      </c>
    </row>
    <row r="54" spans="1:51" ht="16.05" hidden="1" customHeight="1" x14ac:dyDescent="0.3">
      <c r="A54" s="2" t="s">
        <v>150</v>
      </c>
      <c r="B54" s="3" t="s">
        <v>150</v>
      </c>
      <c r="C54" s="4" t="s">
        <v>0</v>
      </c>
      <c r="D54" s="3" t="s">
        <v>101</v>
      </c>
      <c r="E54" s="3" t="s">
        <v>103</v>
      </c>
      <c r="F54" s="3" t="s">
        <v>106</v>
      </c>
      <c r="G54" s="9" t="s">
        <v>135</v>
      </c>
      <c r="H54" s="9" t="s">
        <v>70</v>
      </c>
      <c r="I54" s="6">
        <v>46111</v>
      </c>
      <c r="J54" s="3">
        <v>100000</v>
      </c>
      <c r="K54" t="s">
        <v>49</v>
      </c>
      <c r="L54" s="19">
        <f t="shared" si="3"/>
        <v>46203</v>
      </c>
      <c r="M54" s="6">
        <f t="shared" si="0"/>
        <v>46218</v>
      </c>
      <c r="N54" t="s">
        <v>49</v>
      </c>
      <c r="O54" t="s">
        <v>49</v>
      </c>
      <c r="P54">
        <v>0.5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s="3">
        <v>0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49</v>
      </c>
      <c r="AN54" t="s">
        <v>49</v>
      </c>
      <c r="AO54" t="s">
        <v>49</v>
      </c>
      <c r="AP54" s="3">
        <v>0</v>
      </c>
      <c r="AQ54" t="s">
        <v>49</v>
      </c>
      <c r="AR54" t="s">
        <v>49</v>
      </c>
      <c r="AS54" t="s">
        <v>49</v>
      </c>
      <c r="AT54" t="s">
        <v>49</v>
      </c>
      <c r="AU54" s="5" t="s">
        <v>49</v>
      </c>
      <c r="AV54" t="s">
        <v>49</v>
      </c>
      <c r="AW54" t="s">
        <v>49</v>
      </c>
      <c r="AX54" t="s">
        <v>49</v>
      </c>
      <c r="AY54" t="s">
        <v>49</v>
      </c>
    </row>
    <row r="55" spans="1:51" ht="16.05" hidden="1" customHeight="1" x14ac:dyDescent="0.3">
      <c r="A55" s="2" t="s">
        <v>151</v>
      </c>
      <c r="B55" s="3" t="s">
        <v>152</v>
      </c>
      <c r="C55" s="4" t="s">
        <v>0</v>
      </c>
      <c r="D55" s="3" t="s">
        <v>101</v>
      </c>
      <c r="E55" s="3" t="s">
        <v>103</v>
      </c>
      <c r="F55" s="3" t="s">
        <v>106</v>
      </c>
      <c r="G55" s="10" t="s">
        <v>132</v>
      </c>
      <c r="H55" s="10" t="s">
        <v>133</v>
      </c>
      <c r="I55" s="6">
        <v>46111</v>
      </c>
      <c r="J55" s="3">
        <v>100000</v>
      </c>
      <c r="K55" t="s">
        <v>49</v>
      </c>
      <c r="L55" s="19">
        <f t="shared" si="3"/>
        <v>46203</v>
      </c>
      <c r="M55" s="6">
        <f t="shared" si="0"/>
        <v>46218</v>
      </c>
      <c r="N55" t="s">
        <v>49</v>
      </c>
      <c r="O55" t="s">
        <v>49</v>
      </c>
      <c r="P55">
        <v>0.5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s="3">
        <v>0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 t="s">
        <v>49</v>
      </c>
      <c r="AN55" t="s">
        <v>49</v>
      </c>
      <c r="AO55" t="s">
        <v>49</v>
      </c>
      <c r="AP55" s="3">
        <v>0</v>
      </c>
      <c r="AQ55" t="s">
        <v>49</v>
      </c>
      <c r="AR55" t="s">
        <v>49</v>
      </c>
      <c r="AS55" t="s">
        <v>49</v>
      </c>
      <c r="AT55" t="s">
        <v>49</v>
      </c>
      <c r="AU55" s="5" t="s">
        <v>49</v>
      </c>
      <c r="AV55" t="s">
        <v>49</v>
      </c>
      <c r="AW55" t="s">
        <v>49</v>
      </c>
      <c r="AX55" t="s">
        <v>49</v>
      </c>
      <c r="AY55" t="s">
        <v>49</v>
      </c>
    </row>
    <row r="56" spans="1:51" ht="16.05" hidden="1" customHeight="1" x14ac:dyDescent="0.3">
      <c r="A56" s="2" t="s">
        <v>153</v>
      </c>
      <c r="B56" s="2" t="s">
        <v>180</v>
      </c>
      <c r="C56" s="4" t="s">
        <v>0</v>
      </c>
      <c r="D56" s="3" t="s">
        <v>55</v>
      </c>
      <c r="E56" s="3" t="s">
        <v>57</v>
      </c>
      <c r="F56" s="3" t="s">
        <v>94</v>
      </c>
      <c r="G56" s="5" t="s">
        <v>49</v>
      </c>
      <c r="H56" s="5" t="s">
        <v>49</v>
      </c>
      <c r="I56" s="6">
        <v>46116</v>
      </c>
      <c r="J56" t="s">
        <v>49</v>
      </c>
      <c r="K56" t="s">
        <v>49</v>
      </c>
      <c r="L56" s="19">
        <f t="shared" si="3"/>
        <v>46207</v>
      </c>
      <c r="M56" s="6">
        <f t="shared" si="0"/>
        <v>46222.5</v>
      </c>
      <c r="N56" t="s">
        <v>49</v>
      </c>
      <c r="O56" t="s">
        <v>49</v>
      </c>
      <c r="P56">
        <v>0.5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s="3">
        <v>0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 t="s">
        <v>49</v>
      </c>
      <c r="AN56" t="s">
        <v>49</v>
      </c>
      <c r="AO56" t="s">
        <v>49</v>
      </c>
      <c r="AP56" s="3">
        <v>0</v>
      </c>
      <c r="AQ56" t="s">
        <v>49</v>
      </c>
      <c r="AR56" t="s">
        <v>49</v>
      </c>
      <c r="AS56" t="s">
        <v>49</v>
      </c>
      <c r="AT56" t="s">
        <v>49</v>
      </c>
      <c r="AU56" s="5" t="s">
        <v>49</v>
      </c>
      <c r="AV56" t="s">
        <v>49</v>
      </c>
      <c r="AW56" t="s">
        <v>49</v>
      </c>
      <c r="AX56" t="s">
        <v>49</v>
      </c>
      <c r="AY56" t="s">
        <v>49</v>
      </c>
    </row>
    <row r="57" spans="1:51" ht="16.05" hidden="1" customHeight="1" x14ac:dyDescent="0.3">
      <c r="A57" s="2" t="s">
        <v>154</v>
      </c>
      <c r="B57" s="2" t="s">
        <v>154</v>
      </c>
      <c r="C57" s="4" t="s">
        <v>0</v>
      </c>
      <c r="D57" s="3" t="s">
        <v>55</v>
      </c>
      <c r="E57" s="3" t="s">
        <v>57</v>
      </c>
      <c r="F57" s="3" t="s">
        <v>94</v>
      </c>
      <c r="G57" s="5" t="s">
        <v>49</v>
      </c>
      <c r="H57" s="5" t="s">
        <v>49</v>
      </c>
      <c r="I57" s="6">
        <v>46116</v>
      </c>
      <c r="J57" t="s">
        <v>49</v>
      </c>
      <c r="K57" t="s">
        <v>49</v>
      </c>
      <c r="L57" s="19">
        <f t="shared" si="3"/>
        <v>46207</v>
      </c>
      <c r="M57" s="6">
        <f t="shared" si="0"/>
        <v>46222.5</v>
      </c>
      <c r="N57" t="s">
        <v>49</v>
      </c>
      <c r="O57" t="s">
        <v>49</v>
      </c>
      <c r="P57">
        <v>0.5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s="3">
        <v>0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 t="s">
        <v>49</v>
      </c>
      <c r="AN57" t="s">
        <v>49</v>
      </c>
      <c r="AO57" t="s">
        <v>49</v>
      </c>
      <c r="AP57" s="3">
        <v>0</v>
      </c>
      <c r="AQ57" t="s">
        <v>49</v>
      </c>
      <c r="AR57" t="s">
        <v>49</v>
      </c>
      <c r="AS57" t="s">
        <v>49</v>
      </c>
      <c r="AT57" t="s">
        <v>49</v>
      </c>
      <c r="AU57" s="5" t="s">
        <v>49</v>
      </c>
      <c r="AV57" t="s">
        <v>49</v>
      </c>
      <c r="AW57" t="s">
        <v>49</v>
      </c>
      <c r="AX57" t="s">
        <v>49</v>
      </c>
      <c r="AY57" t="s">
        <v>49</v>
      </c>
    </row>
    <row r="58" spans="1:51" ht="16.05" hidden="1" customHeight="1" x14ac:dyDescent="0.3">
      <c r="A58" s="2" t="s">
        <v>155</v>
      </c>
      <c r="B58" s="2" t="s">
        <v>480</v>
      </c>
      <c r="C58" s="4" t="s">
        <v>0</v>
      </c>
      <c r="D58" s="3" t="s">
        <v>55</v>
      </c>
      <c r="E58" s="3" t="s">
        <v>57</v>
      </c>
      <c r="F58" s="3" t="s">
        <v>94</v>
      </c>
      <c r="G58" s="5" t="s">
        <v>49</v>
      </c>
      <c r="H58" s="5" t="s">
        <v>49</v>
      </c>
      <c r="I58" s="6">
        <v>46116</v>
      </c>
      <c r="J58" t="s">
        <v>49</v>
      </c>
      <c r="K58" t="s">
        <v>49</v>
      </c>
      <c r="L58" s="19">
        <f t="shared" si="3"/>
        <v>46207</v>
      </c>
      <c r="M58" s="6">
        <f t="shared" si="0"/>
        <v>46222.5</v>
      </c>
      <c r="N58" t="s">
        <v>49</v>
      </c>
      <c r="O58" t="s">
        <v>49</v>
      </c>
      <c r="P58">
        <v>0.5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s="3">
        <v>0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49</v>
      </c>
      <c r="AN58" t="s">
        <v>49</v>
      </c>
      <c r="AO58" t="s">
        <v>49</v>
      </c>
      <c r="AP58" s="3">
        <v>0</v>
      </c>
      <c r="AQ58" t="s">
        <v>49</v>
      </c>
      <c r="AR58" t="s">
        <v>49</v>
      </c>
      <c r="AS58" t="s">
        <v>49</v>
      </c>
      <c r="AT58" t="s">
        <v>49</v>
      </c>
      <c r="AU58" s="5" t="s">
        <v>49</v>
      </c>
      <c r="AV58" t="s">
        <v>49</v>
      </c>
      <c r="AW58" t="s">
        <v>49</v>
      </c>
      <c r="AX58" t="s">
        <v>49</v>
      </c>
      <c r="AY58" t="s">
        <v>49</v>
      </c>
    </row>
    <row r="59" spans="1:51" ht="16.05" hidden="1" customHeight="1" x14ac:dyDescent="0.3">
      <c r="A59" s="2" t="s">
        <v>156</v>
      </c>
      <c r="B59" s="3" t="s">
        <v>478</v>
      </c>
      <c r="C59" s="4" t="s">
        <v>0</v>
      </c>
      <c r="D59" s="3" t="s">
        <v>55</v>
      </c>
      <c r="E59" s="3" t="s">
        <v>57</v>
      </c>
      <c r="F59" s="3" t="s">
        <v>94</v>
      </c>
      <c r="G59" s="5" t="s">
        <v>49</v>
      </c>
      <c r="H59" s="5" t="s">
        <v>49</v>
      </c>
      <c r="I59" s="6">
        <v>46116</v>
      </c>
      <c r="J59" t="s">
        <v>49</v>
      </c>
      <c r="K59" t="s">
        <v>49</v>
      </c>
      <c r="L59" s="19">
        <f t="shared" si="3"/>
        <v>46207</v>
      </c>
      <c r="M59" s="6">
        <f t="shared" si="0"/>
        <v>46222.5</v>
      </c>
      <c r="N59" t="s">
        <v>49</v>
      </c>
      <c r="O59" t="s">
        <v>49</v>
      </c>
      <c r="P59">
        <v>0.5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s="3">
        <v>0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49</v>
      </c>
      <c r="AN59" t="s">
        <v>49</v>
      </c>
      <c r="AO59" t="s">
        <v>49</v>
      </c>
      <c r="AP59" s="3">
        <v>0</v>
      </c>
      <c r="AQ59" t="s">
        <v>49</v>
      </c>
      <c r="AR59" t="s">
        <v>49</v>
      </c>
      <c r="AS59" t="s">
        <v>49</v>
      </c>
      <c r="AT59" t="s">
        <v>49</v>
      </c>
      <c r="AU59" s="5" t="s">
        <v>49</v>
      </c>
      <c r="AV59" t="s">
        <v>49</v>
      </c>
      <c r="AW59" t="s">
        <v>49</v>
      </c>
      <c r="AX59" t="s">
        <v>49</v>
      </c>
      <c r="AY59" t="s">
        <v>49</v>
      </c>
    </row>
    <row r="60" spans="1:51" ht="16.05" hidden="1" customHeight="1" x14ac:dyDescent="0.3">
      <c r="A60" s="2" t="s">
        <v>157</v>
      </c>
      <c r="B60" s="3" t="s">
        <v>478</v>
      </c>
      <c r="C60" s="4" t="s">
        <v>0</v>
      </c>
      <c r="D60" s="3" t="s">
        <v>55</v>
      </c>
      <c r="E60" s="3" t="s">
        <v>57</v>
      </c>
      <c r="F60" s="3" t="s">
        <v>94</v>
      </c>
      <c r="G60" s="5" t="s">
        <v>49</v>
      </c>
      <c r="H60" s="5" t="s">
        <v>49</v>
      </c>
      <c r="I60" s="6">
        <v>46116</v>
      </c>
      <c r="J60" t="s">
        <v>49</v>
      </c>
      <c r="K60" t="s">
        <v>49</v>
      </c>
      <c r="L60" s="19">
        <f t="shared" si="3"/>
        <v>46207</v>
      </c>
      <c r="M60" s="6">
        <f t="shared" si="0"/>
        <v>46222.5</v>
      </c>
      <c r="N60" t="s">
        <v>49</v>
      </c>
      <c r="O60" t="s">
        <v>49</v>
      </c>
      <c r="P60">
        <v>0.5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s="3">
        <v>0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 t="s">
        <v>49</v>
      </c>
      <c r="AN60" t="s">
        <v>49</v>
      </c>
      <c r="AO60" t="s">
        <v>49</v>
      </c>
      <c r="AP60" s="3">
        <v>0</v>
      </c>
      <c r="AQ60" t="s">
        <v>49</v>
      </c>
      <c r="AR60" t="s">
        <v>49</v>
      </c>
      <c r="AS60" t="s">
        <v>49</v>
      </c>
      <c r="AT60" t="s">
        <v>49</v>
      </c>
      <c r="AU60" s="5" t="s">
        <v>49</v>
      </c>
      <c r="AV60" t="s">
        <v>49</v>
      </c>
      <c r="AW60" t="s">
        <v>49</v>
      </c>
      <c r="AX60" t="s">
        <v>49</v>
      </c>
      <c r="AY60" t="s">
        <v>49</v>
      </c>
    </row>
    <row r="61" spans="1:51" ht="16.05" hidden="1" customHeight="1" x14ac:dyDescent="0.3">
      <c r="A61" s="2" t="s">
        <v>158</v>
      </c>
      <c r="B61" s="2" t="s">
        <v>479</v>
      </c>
      <c r="C61" s="4" t="s">
        <v>0</v>
      </c>
      <c r="D61" s="3" t="s">
        <v>55</v>
      </c>
      <c r="E61" s="3" t="s">
        <v>57</v>
      </c>
      <c r="F61" s="3" t="s">
        <v>94</v>
      </c>
      <c r="G61" s="5" t="s">
        <v>49</v>
      </c>
      <c r="H61" s="5" t="s">
        <v>49</v>
      </c>
      <c r="I61" s="6">
        <v>45894</v>
      </c>
      <c r="J61" t="s">
        <v>49</v>
      </c>
      <c r="K61" t="s">
        <v>49</v>
      </c>
      <c r="L61" s="19">
        <f t="shared" si="3"/>
        <v>45986</v>
      </c>
      <c r="M61" s="6">
        <f t="shared" si="0"/>
        <v>46001</v>
      </c>
      <c r="N61" t="s">
        <v>49</v>
      </c>
      <c r="O61" t="s">
        <v>49</v>
      </c>
      <c r="P61">
        <v>0.5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s="3">
        <v>0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49</v>
      </c>
      <c r="AN61" t="s">
        <v>49</v>
      </c>
      <c r="AO61" t="s">
        <v>49</v>
      </c>
      <c r="AP61" s="3">
        <v>0</v>
      </c>
      <c r="AQ61" t="s">
        <v>49</v>
      </c>
      <c r="AR61" t="s">
        <v>49</v>
      </c>
      <c r="AS61" t="s">
        <v>49</v>
      </c>
      <c r="AT61" t="s">
        <v>49</v>
      </c>
      <c r="AU61" s="5" t="s">
        <v>49</v>
      </c>
      <c r="AV61" t="s">
        <v>49</v>
      </c>
      <c r="AW61" t="s">
        <v>49</v>
      </c>
      <c r="AX61" t="s">
        <v>49</v>
      </c>
      <c r="AY61" t="s">
        <v>49</v>
      </c>
    </row>
    <row r="62" spans="1:51" ht="16.05" hidden="1" customHeight="1" x14ac:dyDescent="0.3">
      <c r="A62" s="2" t="s">
        <v>159</v>
      </c>
      <c r="B62" s="3" t="s">
        <v>160</v>
      </c>
      <c r="C62" s="4" t="s">
        <v>0</v>
      </c>
      <c r="D62" s="3" t="s">
        <v>55</v>
      </c>
      <c r="E62" s="3" t="s">
        <v>57</v>
      </c>
      <c r="F62" s="3" t="s">
        <v>56</v>
      </c>
      <c r="G62" s="5" t="s">
        <v>49</v>
      </c>
      <c r="H62" s="5" t="s">
        <v>49</v>
      </c>
      <c r="I62" s="6">
        <v>46027</v>
      </c>
      <c r="J62" t="s">
        <v>49</v>
      </c>
      <c r="K62" t="s">
        <v>49</v>
      </c>
      <c r="L62" s="19">
        <f t="shared" si="3"/>
        <v>46117</v>
      </c>
      <c r="M62" s="6">
        <f t="shared" si="0"/>
        <v>46132</v>
      </c>
      <c r="N62" t="s">
        <v>49</v>
      </c>
      <c r="O62" t="s">
        <v>49</v>
      </c>
      <c r="P62">
        <v>0.5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49</v>
      </c>
      <c r="AA62" t="s">
        <v>49</v>
      </c>
      <c r="AB62" t="s">
        <v>49</v>
      </c>
      <c r="AC62" s="3">
        <v>0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 t="s">
        <v>49</v>
      </c>
      <c r="AN62" t="s">
        <v>49</v>
      </c>
      <c r="AO62" t="s">
        <v>49</v>
      </c>
      <c r="AP62" s="3">
        <v>0</v>
      </c>
      <c r="AQ62" t="s">
        <v>49</v>
      </c>
      <c r="AR62" t="s">
        <v>49</v>
      </c>
      <c r="AS62" t="s">
        <v>49</v>
      </c>
      <c r="AT62" t="s">
        <v>49</v>
      </c>
      <c r="AU62" s="5" t="s">
        <v>49</v>
      </c>
      <c r="AV62" t="s">
        <v>49</v>
      </c>
      <c r="AW62" t="s">
        <v>49</v>
      </c>
      <c r="AX62" t="s">
        <v>49</v>
      </c>
      <c r="AY62" t="s">
        <v>49</v>
      </c>
    </row>
    <row r="63" spans="1:51" ht="16.05" hidden="1" customHeight="1" x14ac:dyDescent="0.3">
      <c r="A63" s="2" t="s">
        <v>161</v>
      </c>
      <c r="B63" s="3" t="s">
        <v>162</v>
      </c>
      <c r="C63" s="4" t="s">
        <v>0</v>
      </c>
      <c r="D63" s="3" t="s">
        <v>55</v>
      </c>
      <c r="E63" s="3" t="s">
        <v>57</v>
      </c>
      <c r="F63" s="3" t="s">
        <v>94</v>
      </c>
      <c r="G63" s="5" t="s">
        <v>49</v>
      </c>
      <c r="H63" s="5" t="s">
        <v>49</v>
      </c>
      <c r="I63" s="6">
        <v>45932</v>
      </c>
      <c r="J63" s="3">
        <v>150000</v>
      </c>
      <c r="K63" t="s">
        <v>49</v>
      </c>
      <c r="L63" s="19">
        <v>46174</v>
      </c>
      <c r="M63" s="6">
        <f t="shared" si="0"/>
        <v>46327</v>
      </c>
      <c r="N63" s="3" t="s">
        <v>163</v>
      </c>
      <c r="O63" s="3" t="s">
        <v>164</v>
      </c>
      <c r="P63" s="3">
        <v>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3000</v>
      </c>
      <c r="W63" s="3">
        <v>3000</v>
      </c>
      <c r="X63" s="3">
        <v>3000</v>
      </c>
      <c r="Y63" s="3">
        <v>3000</v>
      </c>
      <c r="Z63" s="3">
        <v>3000</v>
      </c>
      <c r="AA63" s="3">
        <v>0</v>
      </c>
      <c r="AB63" s="3">
        <v>0</v>
      </c>
      <c r="AC63" s="3">
        <v>15000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t="s">
        <v>49</v>
      </c>
      <c r="AR63" t="s">
        <v>49</v>
      </c>
      <c r="AS63" t="s">
        <v>49</v>
      </c>
      <c r="AT63" t="s">
        <v>49</v>
      </c>
      <c r="AU63" s="5" t="s">
        <v>49</v>
      </c>
      <c r="AV63" t="s">
        <v>49</v>
      </c>
      <c r="AW63" t="s">
        <v>49</v>
      </c>
      <c r="AX63" t="s">
        <v>49</v>
      </c>
      <c r="AY63" t="s">
        <v>49</v>
      </c>
    </row>
    <row r="64" spans="1:51" ht="16.05" hidden="1" customHeight="1" x14ac:dyDescent="0.3">
      <c r="A64" s="2" t="s">
        <v>165</v>
      </c>
      <c r="B64" s="3" t="s">
        <v>162</v>
      </c>
      <c r="C64" s="4" t="s">
        <v>0</v>
      </c>
      <c r="D64" s="3" t="s">
        <v>55</v>
      </c>
      <c r="E64" s="3" t="s">
        <v>57</v>
      </c>
      <c r="F64" s="3" t="s">
        <v>94</v>
      </c>
      <c r="G64" s="5" t="s">
        <v>49</v>
      </c>
      <c r="H64" s="5" t="s">
        <v>49</v>
      </c>
      <c r="I64" s="6">
        <v>46127</v>
      </c>
      <c r="J64" t="s">
        <v>49</v>
      </c>
      <c r="K64" t="s">
        <v>49</v>
      </c>
      <c r="L64" s="19">
        <f>EDATE(I64,3)</f>
        <v>46218</v>
      </c>
      <c r="M64" s="6">
        <f t="shared" si="0"/>
        <v>46233.5</v>
      </c>
      <c r="N64" t="s">
        <v>49</v>
      </c>
      <c r="O64" t="s">
        <v>49</v>
      </c>
      <c r="P64">
        <v>0.5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s="3">
        <v>0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 t="s">
        <v>49</v>
      </c>
      <c r="AN64" t="s">
        <v>49</v>
      </c>
      <c r="AO64" t="s">
        <v>49</v>
      </c>
      <c r="AP64" s="3">
        <v>0</v>
      </c>
      <c r="AQ64" t="s">
        <v>49</v>
      </c>
      <c r="AR64" t="s">
        <v>49</v>
      </c>
      <c r="AS64" t="s">
        <v>49</v>
      </c>
      <c r="AT64" t="s">
        <v>49</v>
      </c>
      <c r="AU64" s="5" t="s">
        <v>49</v>
      </c>
      <c r="AV64" t="s">
        <v>49</v>
      </c>
      <c r="AW64" t="s">
        <v>49</v>
      </c>
      <c r="AX64" t="s">
        <v>49</v>
      </c>
      <c r="AY64" t="s">
        <v>49</v>
      </c>
    </row>
    <row r="65" spans="1:51" ht="16.05" hidden="1" customHeight="1" x14ac:dyDescent="0.3">
      <c r="A65" s="2" t="s">
        <v>166</v>
      </c>
      <c r="B65" s="2" t="s">
        <v>489</v>
      </c>
      <c r="C65" s="4" t="s">
        <v>0</v>
      </c>
      <c r="D65" s="3" t="s">
        <v>55</v>
      </c>
      <c r="E65" s="3" t="s">
        <v>57</v>
      </c>
      <c r="F65" s="3" t="s">
        <v>56</v>
      </c>
      <c r="G65" s="5" t="s">
        <v>49</v>
      </c>
      <c r="H65" s="5" t="s">
        <v>49</v>
      </c>
      <c r="I65" s="6">
        <v>46127</v>
      </c>
      <c r="J65" t="s">
        <v>49</v>
      </c>
      <c r="K65" t="s">
        <v>49</v>
      </c>
      <c r="L65" s="19">
        <f>EDATE(I65,3)</f>
        <v>46218</v>
      </c>
      <c r="M65" s="6">
        <f t="shared" si="0"/>
        <v>46233.5</v>
      </c>
      <c r="N65" t="s">
        <v>49</v>
      </c>
      <c r="O65" t="s">
        <v>49</v>
      </c>
      <c r="P65">
        <v>0.5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s="3">
        <v>0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 t="s">
        <v>49</v>
      </c>
      <c r="AN65" t="s">
        <v>49</v>
      </c>
      <c r="AO65" t="s">
        <v>49</v>
      </c>
      <c r="AP65" s="3">
        <v>0</v>
      </c>
      <c r="AQ65" t="s">
        <v>49</v>
      </c>
      <c r="AR65" t="s">
        <v>49</v>
      </c>
      <c r="AS65" t="s">
        <v>49</v>
      </c>
      <c r="AT65" t="s">
        <v>49</v>
      </c>
      <c r="AU65" s="5" t="s">
        <v>49</v>
      </c>
      <c r="AV65" t="s">
        <v>49</v>
      </c>
      <c r="AW65" t="s">
        <v>49</v>
      </c>
      <c r="AX65" t="s">
        <v>49</v>
      </c>
      <c r="AY65" t="s">
        <v>49</v>
      </c>
    </row>
    <row r="66" spans="1:51" ht="16.05" hidden="1" customHeight="1" x14ac:dyDescent="0.3">
      <c r="A66" s="2" t="s">
        <v>168</v>
      </c>
      <c r="B66" s="2" t="s">
        <v>168</v>
      </c>
      <c r="C66" s="13" t="s">
        <v>167</v>
      </c>
      <c r="D66" s="3" t="s">
        <v>50</v>
      </c>
      <c r="E66" s="3" t="s">
        <v>53</v>
      </c>
      <c r="F66" s="3" t="s">
        <v>83</v>
      </c>
      <c r="G66" s="5" t="s">
        <v>49</v>
      </c>
      <c r="H66" s="10" t="s">
        <v>133</v>
      </c>
      <c r="I66" s="6">
        <v>45911</v>
      </c>
      <c r="J66" t="s">
        <v>49</v>
      </c>
      <c r="K66" t="s">
        <v>49</v>
      </c>
      <c r="L66" s="19">
        <f>EDATE(I66,3)</f>
        <v>46002</v>
      </c>
      <c r="M66" s="6">
        <f t="shared" si="0"/>
        <v>46017.5</v>
      </c>
      <c r="N66" t="s">
        <v>49</v>
      </c>
      <c r="O66" t="s">
        <v>49</v>
      </c>
      <c r="P66">
        <v>0.5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s="3">
        <v>0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49</v>
      </c>
      <c r="AM66" t="s">
        <v>49</v>
      </c>
      <c r="AN66" t="s">
        <v>49</v>
      </c>
      <c r="AO66" t="s">
        <v>49</v>
      </c>
      <c r="AP66" s="3">
        <v>0</v>
      </c>
      <c r="AQ66" t="s">
        <v>49</v>
      </c>
      <c r="AR66" t="s">
        <v>49</v>
      </c>
      <c r="AS66" t="s">
        <v>49</v>
      </c>
      <c r="AT66" t="s">
        <v>49</v>
      </c>
      <c r="AU66" s="5" t="s">
        <v>49</v>
      </c>
      <c r="AV66" t="s">
        <v>49</v>
      </c>
      <c r="AW66" t="s">
        <v>49</v>
      </c>
      <c r="AX66" t="s">
        <v>49</v>
      </c>
      <c r="AY66" t="s">
        <v>49</v>
      </c>
    </row>
    <row r="67" spans="1:51" ht="16.05" hidden="1" customHeight="1" x14ac:dyDescent="0.3">
      <c r="A67" s="2" t="s">
        <v>169</v>
      </c>
      <c r="B67" s="3" t="s">
        <v>169</v>
      </c>
      <c r="C67" s="13" t="s">
        <v>167</v>
      </c>
      <c r="D67" s="3" t="s">
        <v>101</v>
      </c>
      <c r="E67" s="3" t="s">
        <v>103</v>
      </c>
      <c r="F67" s="3" t="s">
        <v>106</v>
      </c>
      <c r="G67" s="5" t="s">
        <v>49</v>
      </c>
      <c r="H67" s="5" t="s">
        <v>49</v>
      </c>
      <c r="I67" s="6">
        <v>45708</v>
      </c>
      <c r="J67" s="3">
        <v>90000</v>
      </c>
      <c r="K67" t="s">
        <v>49</v>
      </c>
      <c r="L67" s="19">
        <f>EDATE(I67,3)</f>
        <v>45797</v>
      </c>
      <c r="M67" s="6">
        <f t="shared" ref="M67:M130" si="4">EDATE(L67,INT(P67)) + (P67-INT(P67)) * DAY(EOMONTH(EDATE(L67,INT(P67)),0))</f>
        <v>45812.5</v>
      </c>
      <c r="N67" t="s">
        <v>49</v>
      </c>
      <c r="O67" t="s">
        <v>49</v>
      </c>
      <c r="P67">
        <v>0.5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s="3">
        <v>0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49</v>
      </c>
      <c r="AL67" t="s">
        <v>49</v>
      </c>
      <c r="AM67" t="s">
        <v>49</v>
      </c>
      <c r="AN67" t="s">
        <v>49</v>
      </c>
      <c r="AO67" t="s">
        <v>49</v>
      </c>
      <c r="AP67" s="3">
        <v>0</v>
      </c>
      <c r="AQ67" t="s">
        <v>49</v>
      </c>
      <c r="AR67" t="s">
        <v>49</v>
      </c>
      <c r="AS67" t="s">
        <v>49</v>
      </c>
      <c r="AT67" t="s">
        <v>49</v>
      </c>
      <c r="AU67" s="5" t="s">
        <v>49</v>
      </c>
      <c r="AV67" t="s">
        <v>49</v>
      </c>
      <c r="AW67" t="s">
        <v>49</v>
      </c>
      <c r="AX67" t="s">
        <v>49</v>
      </c>
      <c r="AY67" t="s">
        <v>49</v>
      </c>
    </row>
    <row r="68" spans="1:51" ht="16.05" hidden="1" customHeight="1" x14ac:dyDescent="0.3">
      <c r="A68" s="2" t="s">
        <v>170</v>
      </c>
      <c r="B68" s="3" t="s">
        <v>171</v>
      </c>
      <c r="C68" s="13" t="s">
        <v>167</v>
      </c>
      <c r="D68" s="3" t="s">
        <v>55</v>
      </c>
      <c r="E68" s="3" t="s">
        <v>57</v>
      </c>
      <c r="F68" s="3" t="s">
        <v>121</v>
      </c>
      <c r="G68" s="9" t="s">
        <v>135</v>
      </c>
      <c r="H68" s="9" t="s">
        <v>70</v>
      </c>
      <c r="I68" s="6">
        <v>45978</v>
      </c>
      <c r="J68" s="3">
        <v>150000</v>
      </c>
      <c r="K68" t="s">
        <v>49</v>
      </c>
      <c r="L68" s="19">
        <v>46023</v>
      </c>
      <c r="M68" s="6">
        <f t="shared" si="4"/>
        <v>46038.5</v>
      </c>
      <c r="N68" s="3" t="s">
        <v>172</v>
      </c>
      <c r="O68" s="3" t="s">
        <v>164</v>
      </c>
      <c r="P68">
        <v>0.5</v>
      </c>
      <c r="Q68" s="3">
        <v>18750</v>
      </c>
      <c r="R68" s="3">
        <v>18750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37500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t="s">
        <v>49</v>
      </c>
      <c r="AR68" s="3">
        <v>18750</v>
      </c>
      <c r="AS68" t="s">
        <v>49</v>
      </c>
      <c r="AT68" t="s">
        <v>49</v>
      </c>
      <c r="AU68" s="5" t="s">
        <v>49</v>
      </c>
      <c r="AV68" t="s">
        <v>49</v>
      </c>
      <c r="AW68" t="s">
        <v>49</v>
      </c>
      <c r="AX68" t="s">
        <v>49</v>
      </c>
      <c r="AY68" t="s">
        <v>49</v>
      </c>
    </row>
    <row r="69" spans="1:51" ht="16.05" hidden="1" customHeight="1" x14ac:dyDescent="0.3">
      <c r="A69" s="2" t="s">
        <v>173</v>
      </c>
      <c r="B69" s="3" t="s">
        <v>174</v>
      </c>
      <c r="C69" s="13" t="s">
        <v>167</v>
      </c>
      <c r="D69" s="3" t="s">
        <v>67</v>
      </c>
      <c r="E69" s="3" t="s">
        <v>79</v>
      </c>
      <c r="F69" s="3" t="s">
        <v>68</v>
      </c>
      <c r="G69" s="5" t="s">
        <v>49</v>
      </c>
      <c r="H69" s="5" t="s">
        <v>49</v>
      </c>
      <c r="I69" s="6">
        <v>46041</v>
      </c>
      <c r="J69" t="s">
        <v>49</v>
      </c>
      <c r="K69" s="6">
        <v>46175</v>
      </c>
      <c r="L69" s="19">
        <f>EDATE(I69,3)</f>
        <v>46131</v>
      </c>
      <c r="M69" s="6">
        <f t="shared" si="4"/>
        <v>46146</v>
      </c>
      <c r="N69" t="s">
        <v>49</v>
      </c>
      <c r="O69" t="s">
        <v>49</v>
      </c>
      <c r="P69">
        <v>0.5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49</v>
      </c>
      <c r="Z69" t="s">
        <v>49</v>
      </c>
      <c r="AA69" t="s">
        <v>49</v>
      </c>
      <c r="AB69" t="s">
        <v>49</v>
      </c>
      <c r="AC69" s="3">
        <v>0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 t="s">
        <v>49</v>
      </c>
      <c r="AN69" t="s">
        <v>49</v>
      </c>
      <c r="AO69" t="s">
        <v>49</v>
      </c>
      <c r="AP69" s="3">
        <v>0</v>
      </c>
      <c r="AQ69" t="s">
        <v>49</v>
      </c>
      <c r="AR69" t="s">
        <v>49</v>
      </c>
      <c r="AS69" t="s">
        <v>49</v>
      </c>
      <c r="AT69" t="s">
        <v>49</v>
      </c>
      <c r="AU69" s="5" t="s">
        <v>49</v>
      </c>
      <c r="AV69" t="s">
        <v>49</v>
      </c>
      <c r="AW69" t="s">
        <v>49</v>
      </c>
      <c r="AX69" t="s">
        <v>49</v>
      </c>
      <c r="AY69" t="s">
        <v>49</v>
      </c>
    </row>
    <row r="70" spans="1:51" ht="16.05" hidden="1" customHeight="1" x14ac:dyDescent="0.3">
      <c r="A70" s="2" t="s">
        <v>175</v>
      </c>
      <c r="B70" s="3" t="s">
        <v>176</v>
      </c>
      <c r="C70" s="13" t="s">
        <v>167</v>
      </c>
      <c r="D70" s="3" t="s">
        <v>55</v>
      </c>
      <c r="E70" s="3" t="s">
        <v>57</v>
      </c>
      <c r="F70" s="3" t="s">
        <v>94</v>
      </c>
      <c r="G70" s="11" t="s">
        <v>141</v>
      </c>
      <c r="H70" s="10" t="s">
        <v>133</v>
      </c>
      <c r="I70" s="6">
        <v>46100</v>
      </c>
      <c r="J70" s="3">
        <v>480000</v>
      </c>
      <c r="K70" t="s">
        <v>49</v>
      </c>
      <c r="L70" s="19">
        <v>46143</v>
      </c>
      <c r="M70" s="6">
        <f t="shared" si="4"/>
        <v>46508</v>
      </c>
      <c r="N70" s="3" t="s">
        <v>177</v>
      </c>
      <c r="O70" s="3" t="s">
        <v>164</v>
      </c>
      <c r="P70" s="3">
        <v>12</v>
      </c>
      <c r="Q70" s="3">
        <v>0</v>
      </c>
      <c r="R70" s="3">
        <v>0</v>
      </c>
      <c r="S70" s="3">
        <v>0</v>
      </c>
      <c r="T70" s="3">
        <v>0</v>
      </c>
      <c r="U70" s="3">
        <v>10000</v>
      </c>
      <c r="V70" s="3">
        <v>10000</v>
      </c>
      <c r="W70" s="3">
        <v>10000</v>
      </c>
      <c r="X70" s="3">
        <v>10000</v>
      </c>
      <c r="Y70" s="3">
        <v>10000</v>
      </c>
      <c r="Z70" s="3">
        <v>10000</v>
      </c>
      <c r="AA70" s="3">
        <v>10000</v>
      </c>
      <c r="AB70" s="3">
        <v>10000</v>
      </c>
      <c r="AC70" s="3">
        <v>80000</v>
      </c>
      <c r="AD70" s="3">
        <v>10000</v>
      </c>
      <c r="AE70" s="3">
        <v>10000</v>
      </c>
      <c r="AF70" s="3">
        <v>10000</v>
      </c>
      <c r="AG70" s="3">
        <v>10000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40000</v>
      </c>
      <c r="AQ70" t="s">
        <v>49</v>
      </c>
      <c r="AR70" t="s">
        <v>49</v>
      </c>
      <c r="AS70" t="s">
        <v>49</v>
      </c>
      <c r="AT70" t="s">
        <v>49</v>
      </c>
      <c r="AU70" s="5" t="s">
        <v>49</v>
      </c>
      <c r="AV70" t="s">
        <v>49</v>
      </c>
      <c r="AW70" t="s">
        <v>49</v>
      </c>
      <c r="AX70" t="s">
        <v>49</v>
      </c>
      <c r="AY70" t="s">
        <v>49</v>
      </c>
    </row>
    <row r="71" spans="1:51" ht="16.05" hidden="1" customHeight="1" x14ac:dyDescent="0.3">
      <c r="A71" s="2" t="s">
        <v>178</v>
      </c>
      <c r="B71" s="2" t="s">
        <v>483</v>
      </c>
      <c r="C71" s="13" t="s">
        <v>167</v>
      </c>
      <c r="D71" s="3" t="s">
        <v>50</v>
      </c>
      <c r="E71" s="3" t="s">
        <v>53</v>
      </c>
      <c r="F71" s="3" t="s">
        <v>83</v>
      </c>
      <c r="G71" s="5" t="s">
        <v>49</v>
      </c>
      <c r="H71" s="5" t="s">
        <v>49</v>
      </c>
      <c r="I71" s="6">
        <v>46100</v>
      </c>
      <c r="J71" t="s">
        <v>49</v>
      </c>
      <c r="K71" t="s">
        <v>49</v>
      </c>
      <c r="L71" s="19">
        <f>EDATE(I71,3)</f>
        <v>46192</v>
      </c>
      <c r="M71" s="6">
        <f t="shared" si="4"/>
        <v>46207</v>
      </c>
      <c r="N71" t="s">
        <v>49</v>
      </c>
      <c r="O71" t="s">
        <v>49</v>
      </c>
      <c r="P71">
        <v>0.5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s="3">
        <v>0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49</v>
      </c>
      <c r="AM71" t="s">
        <v>49</v>
      </c>
      <c r="AN71" t="s">
        <v>49</v>
      </c>
      <c r="AO71" t="s">
        <v>49</v>
      </c>
      <c r="AP71" s="3">
        <v>0</v>
      </c>
      <c r="AQ71" t="s">
        <v>49</v>
      </c>
      <c r="AR71" t="s">
        <v>49</v>
      </c>
      <c r="AS71" t="s">
        <v>49</v>
      </c>
      <c r="AT71" t="s">
        <v>49</v>
      </c>
      <c r="AU71" s="5" t="s">
        <v>49</v>
      </c>
      <c r="AV71" t="s">
        <v>49</v>
      </c>
      <c r="AW71" t="s">
        <v>49</v>
      </c>
      <c r="AX71" t="s">
        <v>49</v>
      </c>
      <c r="AY71" t="s">
        <v>49</v>
      </c>
    </row>
    <row r="72" spans="1:51" ht="16.05" hidden="1" customHeight="1" x14ac:dyDescent="0.3">
      <c r="A72" s="2" t="s">
        <v>179</v>
      </c>
      <c r="B72" s="3" t="s">
        <v>180</v>
      </c>
      <c r="C72" s="13" t="s">
        <v>167</v>
      </c>
      <c r="D72" s="3" t="s">
        <v>101</v>
      </c>
      <c r="E72" s="3" t="s">
        <v>103</v>
      </c>
      <c r="F72" s="3" t="s">
        <v>106</v>
      </c>
      <c r="G72" s="11" t="s">
        <v>141</v>
      </c>
      <c r="H72" s="10" t="s">
        <v>133</v>
      </c>
      <c r="I72" s="6">
        <v>46111</v>
      </c>
      <c r="J72" s="3">
        <v>250000</v>
      </c>
      <c r="K72" t="s">
        <v>49</v>
      </c>
      <c r="L72" s="19">
        <f>EDATE(I72,3)</f>
        <v>46203</v>
      </c>
      <c r="M72" s="6">
        <f t="shared" si="4"/>
        <v>46218</v>
      </c>
      <c r="N72" t="s">
        <v>49</v>
      </c>
      <c r="O72" t="s">
        <v>49</v>
      </c>
      <c r="P72">
        <v>0.5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s="3">
        <v>0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49</v>
      </c>
      <c r="AM72" t="s">
        <v>49</v>
      </c>
      <c r="AN72" t="s">
        <v>49</v>
      </c>
      <c r="AO72" t="s">
        <v>49</v>
      </c>
      <c r="AP72" s="3">
        <v>0</v>
      </c>
      <c r="AQ72" t="s">
        <v>49</v>
      </c>
      <c r="AR72" t="s">
        <v>49</v>
      </c>
      <c r="AS72" t="s">
        <v>49</v>
      </c>
      <c r="AT72" t="s">
        <v>49</v>
      </c>
      <c r="AU72" s="5" t="s">
        <v>49</v>
      </c>
      <c r="AV72" t="s">
        <v>49</v>
      </c>
      <c r="AW72" t="s">
        <v>49</v>
      </c>
      <c r="AX72" t="s">
        <v>49</v>
      </c>
      <c r="AY72" t="s">
        <v>49</v>
      </c>
    </row>
    <row r="73" spans="1:51" ht="16.05" hidden="1" customHeight="1" x14ac:dyDescent="0.3">
      <c r="A73" s="2" t="s">
        <v>181</v>
      </c>
      <c r="B73" s="3" t="s">
        <v>182</v>
      </c>
      <c r="C73" s="13" t="s">
        <v>167</v>
      </c>
      <c r="D73" s="3" t="s">
        <v>101</v>
      </c>
      <c r="E73" s="3" t="s">
        <v>103</v>
      </c>
      <c r="F73" s="3" t="s">
        <v>106</v>
      </c>
      <c r="G73" s="9" t="s">
        <v>135</v>
      </c>
      <c r="H73" s="10" t="s">
        <v>133</v>
      </c>
      <c r="I73" s="6">
        <v>46111</v>
      </c>
      <c r="J73" s="3">
        <v>100000</v>
      </c>
      <c r="K73" t="s">
        <v>49</v>
      </c>
      <c r="L73" s="19">
        <f>EDATE(I73,3)</f>
        <v>46203</v>
      </c>
      <c r="M73" s="6">
        <f t="shared" si="4"/>
        <v>46218</v>
      </c>
      <c r="N73" t="s">
        <v>49</v>
      </c>
      <c r="O73" t="s">
        <v>49</v>
      </c>
      <c r="P73">
        <v>0.5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s="3">
        <v>0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49</v>
      </c>
      <c r="AM73" t="s">
        <v>49</v>
      </c>
      <c r="AN73" t="s">
        <v>49</v>
      </c>
      <c r="AO73" t="s">
        <v>49</v>
      </c>
      <c r="AP73" s="3">
        <v>0</v>
      </c>
      <c r="AQ73" t="s">
        <v>49</v>
      </c>
      <c r="AR73" t="s">
        <v>49</v>
      </c>
      <c r="AS73" t="s">
        <v>49</v>
      </c>
      <c r="AT73" t="s">
        <v>49</v>
      </c>
      <c r="AU73" s="5" t="s">
        <v>49</v>
      </c>
      <c r="AV73" t="s">
        <v>49</v>
      </c>
      <c r="AW73" t="s">
        <v>49</v>
      </c>
      <c r="AX73" t="s">
        <v>49</v>
      </c>
      <c r="AY73" t="s">
        <v>49</v>
      </c>
    </row>
    <row r="74" spans="1:51" ht="16.05" hidden="1" customHeight="1" x14ac:dyDescent="0.3">
      <c r="A74" s="2" t="s">
        <v>183</v>
      </c>
      <c r="B74" s="3" t="s">
        <v>184</v>
      </c>
      <c r="C74" s="13" t="s">
        <v>167</v>
      </c>
      <c r="D74" s="3" t="s">
        <v>55</v>
      </c>
      <c r="E74" s="3" t="s">
        <v>57</v>
      </c>
      <c r="F74" s="3" t="s">
        <v>94</v>
      </c>
      <c r="G74" s="11" t="s">
        <v>141</v>
      </c>
      <c r="H74" s="9" t="s">
        <v>70</v>
      </c>
      <c r="I74" s="6">
        <v>46097</v>
      </c>
      <c r="J74" s="3">
        <v>336000</v>
      </c>
      <c r="K74" t="s">
        <v>49</v>
      </c>
      <c r="L74" s="19">
        <v>46113</v>
      </c>
      <c r="M74" s="6">
        <f t="shared" si="4"/>
        <v>46478</v>
      </c>
      <c r="N74" s="3" t="s">
        <v>95</v>
      </c>
      <c r="O74" s="3" t="s">
        <v>164</v>
      </c>
      <c r="P74" s="3">
        <v>12</v>
      </c>
      <c r="Q74" s="3">
        <v>0</v>
      </c>
      <c r="R74" s="3">
        <v>0</v>
      </c>
      <c r="S74" s="3">
        <v>0</v>
      </c>
      <c r="T74" s="3">
        <v>7000</v>
      </c>
      <c r="U74" s="3">
        <v>7000</v>
      </c>
      <c r="V74" s="3">
        <v>7000</v>
      </c>
      <c r="W74" s="3">
        <v>7000</v>
      </c>
      <c r="X74" s="3">
        <v>7000</v>
      </c>
      <c r="Y74" s="3">
        <v>7000</v>
      </c>
      <c r="Z74" s="3">
        <v>7000</v>
      </c>
      <c r="AA74" s="3">
        <v>7000</v>
      </c>
      <c r="AB74" s="3">
        <v>7000</v>
      </c>
      <c r="AC74" s="3">
        <v>63000</v>
      </c>
      <c r="AD74" s="3">
        <v>7000</v>
      </c>
      <c r="AE74" s="3">
        <v>7000</v>
      </c>
      <c r="AF74" s="3">
        <v>7000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21000</v>
      </c>
      <c r="AQ74" t="s">
        <v>49</v>
      </c>
      <c r="AR74" t="s">
        <v>49</v>
      </c>
      <c r="AS74" t="s">
        <v>49</v>
      </c>
      <c r="AT74" t="s">
        <v>49</v>
      </c>
      <c r="AU74" s="5" t="s">
        <v>49</v>
      </c>
      <c r="AV74" t="s">
        <v>49</v>
      </c>
      <c r="AW74" t="s">
        <v>49</v>
      </c>
      <c r="AX74" t="s">
        <v>49</v>
      </c>
      <c r="AY74" t="s">
        <v>49</v>
      </c>
    </row>
    <row r="75" spans="1:51" ht="16.05" hidden="1" customHeight="1" x14ac:dyDescent="0.3">
      <c r="A75" s="2" t="s">
        <v>185</v>
      </c>
      <c r="B75" s="3" t="s">
        <v>185</v>
      </c>
      <c r="C75" s="13" t="s">
        <v>167</v>
      </c>
      <c r="D75" s="3" t="s">
        <v>50</v>
      </c>
      <c r="E75" s="3" t="s">
        <v>474</v>
      </c>
      <c r="F75" s="3" t="s">
        <v>83</v>
      </c>
      <c r="G75" s="5" t="s">
        <v>49</v>
      </c>
      <c r="H75" s="5" t="s">
        <v>49</v>
      </c>
      <c r="I75" s="6">
        <v>46042</v>
      </c>
      <c r="J75" t="s">
        <v>49</v>
      </c>
      <c r="K75" t="s">
        <v>49</v>
      </c>
      <c r="L75" s="19">
        <f t="shared" ref="L75:L86" si="5">EDATE(I75,3)</f>
        <v>46132</v>
      </c>
      <c r="M75" s="6">
        <f t="shared" si="4"/>
        <v>46147</v>
      </c>
      <c r="N75" t="s">
        <v>49</v>
      </c>
      <c r="O75" t="s">
        <v>49</v>
      </c>
      <c r="P75">
        <v>0.5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  <c r="Z75" t="s">
        <v>49</v>
      </c>
      <c r="AA75" t="s">
        <v>49</v>
      </c>
      <c r="AB75" t="s">
        <v>49</v>
      </c>
      <c r="AC75" s="3">
        <v>0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 t="s">
        <v>49</v>
      </c>
      <c r="AN75" t="s">
        <v>49</v>
      </c>
      <c r="AO75" t="s">
        <v>49</v>
      </c>
      <c r="AP75" s="3">
        <v>0</v>
      </c>
      <c r="AQ75" t="s">
        <v>49</v>
      </c>
      <c r="AR75" t="s">
        <v>49</v>
      </c>
      <c r="AS75" t="s">
        <v>49</v>
      </c>
      <c r="AT75" t="s">
        <v>49</v>
      </c>
      <c r="AU75" s="5" t="s">
        <v>49</v>
      </c>
      <c r="AV75" t="s">
        <v>49</v>
      </c>
      <c r="AW75" t="s">
        <v>49</v>
      </c>
      <c r="AX75" t="s">
        <v>49</v>
      </c>
      <c r="AY75" t="s">
        <v>49</v>
      </c>
    </row>
    <row r="76" spans="1:51" ht="16.05" hidden="1" customHeight="1" x14ac:dyDescent="0.3">
      <c r="A76" s="2" t="s">
        <v>186</v>
      </c>
      <c r="B76" s="3" t="s">
        <v>187</v>
      </c>
      <c r="C76" s="13" t="s">
        <v>167</v>
      </c>
      <c r="D76" s="3" t="s">
        <v>50</v>
      </c>
      <c r="E76" s="3" t="s">
        <v>53</v>
      </c>
      <c r="F76" s="3" t="s">
        <v>83</v>
      </c>
      <c r="G76" s="10" t="s">
        <v>132</v>
      </c>
      <c r="H76" s="9" t="s">
        <v>70</v>
      </c>
      <c r="I76" s="6">
        <v>46075</v>
      </c>
      <c r="J76" t="s">
        <v>49</v>
      </c>
      <c r="K76" t="s">
        <v>49</v>
      </c>
      <c r="L76" s="19">
        <f t="shared" si="5"/>
        <v>46164</v>
      </c>
      <c r="M76" s="6">
        <f t="shared" si="4"/>
        <v>46179.5</v>
      </c>
      <c r="N76" t="s">
        <v>49</v>
      </c>
      <c r="O76" t="s">
        <v>49</v>
      </c>
      <c r="P76">
        <v>0.5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s="3">
        <v>0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49</v>
      </c>
      <c r="AM76" t="s">
        <v>49</v>
      </c>
      <c r="AN76" t="s">
        <v>49</v>
      </c>
      <c r="AO76" t="s">
        <v>49</v>
      </c>
      <c r="AP76" s="3">
        <v>0</v>
      </c>
      <c r="AQ76" t="s">
        <v>49</v>
      </c>
      <c r="AR76" t="s">
        <v>49</v>
      </c>
      <c r="AS76" t="s">
        <v>49</v>
      </c>
      <c r="AT76" t="s">
        <v>49</v>
      </c>
      <c r="AU76" s="5" t="s">
        <v>49</v>
      </c>
      <c r="AV76" t="s">
        <v>49</v>
      </c>
      <c r="AW76" t="s">
        <v>49</v>
      </c>
      <c r="AX76" t="s">
        <v>49</v>
      </c>
      <c r="AY76" t="s">
        <v>49</v>
      </c>
    </row>
    <row r="77" spans="1:51" ht="16.05" customHeight="1" x14ac:dyDescent="0.3">
      <c r="A77" s="2" t="s">
        <v>188</v>
      </c>
      <c r="B77" s="3" t="s">
        <v>189</v>
      </c>
      <c r="C77" s="12" t="s">
        <v>11</v>
      </c>
      <c r="D77" s="3" t="s">
        <v>101</v>
      </c>
      <c r="E77" s="3" t="s">
        <v>103</v>
      </c>
      <c r="F77" s="3" t="s">
        <v>106</v>
      </c>
      <c r="G77" s="9" t="s">
        <v>135</v>
      </c>
      <c r="H77" s="9" t="s">
        <v>70</v>
      </c>
      <c r="I77" s="6">
        <v>46111</v>
      </c>
      <c r="J77" s="3">
        <v>500000</v>
      </c>
      <c r="K77" t="s">
        <v>49</v>
      </c>
      <c r="L77" s="19">
        <f t="shared" si="5"/>
        <v>46203</v>
      </c>
      <c r="M77" s="6">
        <f t="shared" si="4"/>
        <v>46218</v>
      </c>
      <c r="N77" t="s">
        <v>49</v>
      </c>
      <c r="O77" t="s">
        <v>49</v>
      </c>
      <c r="P77">
        <v>0.5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s="3">
        <v>0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49</v>
      </c>
      <c r="AM77" t="s">
        <v>49</v>
      </c>
      <c r="AN77" t="s">
        <v>49</v>
      </c>
      <c r="AO77" t="s">
        <v>49</v>
      </c>
      <c r="AP77" s="3">
        <v>0</v>
      </c>
      <c r="AQ77" t="s">
        <v>49</v>
      </c>
      <c r="AR77" t="s">
        <v>49</v>
      </c>
      <c r="AS77" t="s">
        <v>49</v>
      </c>
      <c r="AT77" t="s">
        <v>49</v>
      </c>
      <c r="AU77" s="5" t="s">
        <v>49</v>
      </c>
      <c r="AV77" t="s">
        <v>49</v>
      </c>
      <c r="AW77" t="s">
        <v>49</v>
      </c>
      <c r="AX77" t="s">
        <v>49</v>
      </c>
      <c r="AY77" t="s">
        <v>49</v>
      </c>
    </row>
    <row r="78" spans="1:51" ht="16.05" customHeight="1" x14ac:dyDescent="0.3">
      <c r="A78" s="22" t="s">
        <v>190</v>
      </c>
      <c r="B78" s="2" t="s">
        <v>72</v>
      </c>
      <c r="C78" s="12" t="s">
        <v>11</v>
      </c>
      <c r="D78" s="3" t="s">
        <v>67</v>
      </c>
      <c r="E78" s="3" t="s">
        <v>79</v>
      </c>
      <c r="F78" s="3" t="s">
        <v>68</v>
      </c>
      <c r="G78" s="5" t="s">
        <v>49</v>
      </c>
      <c r="H78" s="5" t="s">
        <v>49</v>
      </c>
      <c r="I78" s="6">
        <v>46094</v>
      </c>
      <c r="J78" t="s">
        <v>49</v>
      </c>
      <c r="K78" t="s">
        <v>49</v>
      </c>
      <c r="L78" s="19">
        <f t="shared" si="5"/>
        <v>46186</v>
      </c>
      <c r="M78" s="6">
        <f t="shared" si="4"/>
        <v>46201</v>
      </c>
      <c r="N78" t="s">
        <v>49</v>
      </c>
      <c r="O78" t="s">
        <v>49</v>
      </c>
      <c r="P78">
        <v>0.5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s="3">
        <v>0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49</v>
      </c>
      <c r="AM78" t="s">
        <v>49</v>
      </c>
      <c r="AN78" t="s">
        <v>49</v>
      </c>
      <c r="AO78" t="s">
        <v>49</v>
      </c>
      <c r="AP78" s="3">
        <v>0</v>
      </c>
      <c r="AQ78" t="s">
        <v>49</v>
      </c>
      <c r="AR78" t="s">
        <v>49</v>
      </c>
      <c r="AS78" t="s">
        <v>49</v>
      </c>
      <c r="AT78" t="s">
        <v>49</v>
      </c>
      <c r="AU78" s="5" t="s">
        <v>49</v>
      </c>
      <c r="AV78" t="s">
        <v>49</v>
      </c>
      <c r="AW78" t="s">
        <v>49</v>
      </c>
      <c r="AX78" t="s">
        <v>49</v>
      </c>
      <c r="AY78" t="s">
        <v>49</v>
      </c>
    </row>
    <row r="79" spans="1:51" ht="16.05" customHeight="1" x14ac:dyDescent="0.3">
      <c r="A79" s="2" t="s">
        <v>192</v>
      </c>
      <c r="B79" s="3" t="s">
        <v>187</v>
      </c>
      <c r="C79" s="14" t="s">
        <v>191</v>
      </c>
      <c r="D79" s="3" t="s">
        <v>50</v>
      </c>
      <c r="E79" s="3" t="s">
        <v>53</v>
      </c>
      <c r="F79" s="3" t="s">
        <v>83</v>
      </c>
      <c r="G79" s="8" t="s">
        <v>471</v>
      </c>
      <c r="H79" s="10" t="s">
        <v>133</v>
      </c>
      <c r="I79" s="6">
        <v>45978</v>
      </c>
      <c r="J79" s="3">
        <v>44080000</v>
      </c>
      <c r="K79" t="s">
        <v>49</v>
      </c>
      <c r="L79" s="19">
        <f t="shared" si="5"/>
        <v>46070</v>
      </c>
      <c r="M79" s="6">
        <f t="shared" si="4"/>
        <v>46084</v>
      </c>
      <c r="N79" t="s">
        <v>49</v>
      </c>
      <c r="O79" t="s">
        <v>49</v>
      </c>
      <c r="P79">
        <v>0.5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s="3">
        <v>0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49</v>
      </c>
      <c r="AM79" t="s">
        <v>49</v>
      </c>
      <c r="AN79" t="s">
        <v>49</v>
      </c>
      <c r="AO79" t="s">
        <v>49</v>
      </c>
      <c r="AP79" s="3">
        <v>0</v>
      </c>
      <c r="AQ79" t="s">
        <v>49</v>
      </c>
      <c r="AR79" t="s">
        <v>49</v>
      </c>
      <c r="AS79" t="s">
        <v>49</v>
      </c>
      <c r="AT79" t="s">
        <v>49</v>
      </c>
      <c r="AU79" s="5" t="s">
        <v>49</v>
      </c>
      <c r="AV79" t="s">
        <v>49</v>
      </c>
      <c r="AW79" t="s">
        <v>49</v>
      </c>
      <c r="AX79" t="s">
        <v>49</v>
      </c>
      <c r="AY79" t="s">
        <v>49</v>
      </c>
    </row>
    <row r="80" spans="1:51" ht="16.05" customHeight="1" x14ac:dyDescent="0.3">
      <c r="A80" s="2" t="s">
        <v>193</v>
      </c>
      <c r="B80" s="3" t="s">
        <v>187</v>
      </c>
      <c r="C80" s="14" t="s">
        <v>191</v>
      </c>
      <c r="D80" s="3" t="s">
        <v>50</v>
      </c>
      <c r="E80" s="3" t="s">
        <v>53</v>
      </c>
      <c r="F80" s="3" t="s">
        <v>83</v>
      </c>
      <c r="G80" s="8" t="s">
        <v>471</v>
      </c>
      <c r="H80" s="10" t="s">
        <v>133</v>
      </c>
      <c r="I80" s="6">
        <v>46021</v>
      </c>
      <c r="J80" s="3">
        <v>11117000</v>
      </c>
      <c r="K80" t="s">
        <v>49</v>
      </c>
      <c r="L80" s="19">
        <f t="shared" si="5"/>
        <v>46111</v>
      </c>
      <c r="M80" s="6">
        <f t="shared" si="4"/>
        <v>46126.5</v>
      </c>
      <c r="N80" t="s">
        <v>49</v>
      </c>
      <c r="O80" t="s">
        <v>49</v>
      </c>
      <c r="P80">
        <v>0.5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s="3">
        <v>0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49</v>
      </c>
      <c r="AN80" t="s">
        <v>49</v>
      </c>
      <c r="AO80" t="s">
        <v>49</v>
      </c>
      <c r="AP80" s="3">
        <v>0</v>
      </c>
      <c r="AQ80" t="s">
        <v>49</v>
      </c>
      <c r="AR80" t="s">
        <v>49</v>
      </c>
      <c r="AS80" t="s">
        <v>49</v>
      </c>
      <c r="AT80" t="s">
        <v>49</v>
      </c>
      <c r="AU80" s="5" t="s">
        <v>49</v>
      </c>
      <c r="AV80" t="s">
        <v>49</v>
      </c>
      <c r="AW80" t="s">
        <v>49</v>
      </c>
      <c r="AX80" t="s">
        <v>49</v>
      </c>
      <c r="AY80" t="s">
        <v>49</v>
      </c>
    </row>
    <row r="81" spans="1:51" ht="16.05" customHeight="1" x14ac:dyDescent="0.3">
      <c r="A81" s="2" t="s">
        <v>194</v>
      </c>
      <c r="B81" s="3" t="s">
        <v>187</v>
      </c>
      <c r="C81" s="14" t="s">
        <v>191</v>
      </c>
      <c r="D81" s="3" t="s">
        <v>50</v>
      </c>
      <c r="E81" s="3" t="s">
        <v>53</v>
      </c>
      <c r="F81" s="3" t="s">
        <v>83</v>
      </c>
      <c r="G81" s="10" t="s">
        <v>132</v>
      </c>
      <c r="H81" s="9" t="s">
        <v>70</v>
      </c>
      <c r="I81" s="6">
        <v>46021</v>
      </c>
      <c r="J81" s="3">
        <v>10104000</v>
      </c>
      <c r="K81" t="s">
        <v>49</v>
      </c>
      <c r="L81" s="19">
        <f t="shared" si="5"/>
        <v>46111</v>
      </c>
      <c r="M81" s="6">
        <f t="shared" si="4"/>
        <v>46126.5</v>
      </c>
      <c r="N81" t="s">
        <v>49</v>
      </c>
      <c r="O81" t="s">
        <v>49</v>
      </c>
      <c r="P81">
        <v>0.5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s="3">
        <v>0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 t="s">
        <v>49</v>
      </c>
      <c r="AN81" t="s">
        <v>49</v>
      </c>
      <c r="AO81" t="s">
        <v>49</v>
      </c>
      <c r="AP81" s="3">
        <v>0</v>
      </c>
      <c r="AQ81" t="s">
        <v>49</v>
      </c>
      <c r="AR81" t="s">
        <v>49</v>
      </c>
      <c r="AS81" t="s">
        <v>49</v>
      </c>
      <c r="AT81" t="s">
        <v>49</v>
      </c>
      <c r="AU81" s="5" t="s">
        <v>49</v>
      </c>
      <c r="AV81" t="s">
        <v>49</v>
      </c>
      <c r="AW81" t="s">
        <v>49</v>
      </c>
      <c r="AX81" t="s">
        <v>49</v>
      </c>
      <c r="AY81" t="s">
        <v>49</v>
      </c>
    </row>
    <row r="82" spans="1:51" ht="16.05" customHeight="1" x14ac:dyDescent="0.3">
      <c r="A82" s="2" t="s">
        <v>195</v>
      </c>
      <c r="B82" s="3" t="s">
        <v>187</v>
      </c>
      <c r="C82" s="14" t="s">
        <v>191</v>
      </c>
      <c r="D82" s="3" t="s">
        <v>50</v>
      </c>
      <c r="E82" s="3" t="s">
        <v>53</v>
      </c>
      <c r="F82" s="3" t="s">
        <v>83</v>
      </c>
      <c r="G82" s="8" t="s">
        <v>471</v>
      </c>
      <c r="H82" s="8" t="s">
        <v>472</v>
      </c>
      <c r="I82" s="6">
        <v>45960</v>
      </c>
      <c r="J82" s="3">
        <v>21840000</v>
      </c>
      <c r="K82" s="6">
        <v>46038</v>
      </c>
      <c r="L82" s="19">
        <f t="shared" si="5"/>
        <v>46052</v>
      </c>
      <c r="M82" s="6">
        <f t="shared" si="4"/>
        <v>46067.5</v>
      </c>
      <c r="N82" t="s">
        <v>49</v>
      </c>
      <c r="O82" t="s">
        <v>49</v>
      </c>
      <c r="P82">
        <v>0.5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  <c r="Z82" t="s">
        <v>49</v>
      </c>
      <c r="AA82" t="s">
        <v>49</v>
      </c>
      <c r="AB82" t="s">
        <v>49</v>
      </c>
      <c r="AC82" s="3">
        <v>0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 t="s">
        <v>49</v>
      </c>
      <c r="AN82" t="s">
        <v>49</v>
      </c>
      <c r="AO82" t="s">
        <v>49</v>
      </c>
      <c r="AP82" s="3">
        <v>0</v>
      </c>
      <c r="AQ82" t="s">
        <v>49</v>
      </c>
      <c r="AR82" t="s">
        <v>49</v>
      </c>
      <c r="AS82" t="s">
        <v>49</v>
      </c>
      <c r="AT82" t="s">
        <v>49</v>
      </c>
      <c r="AU82" s="5" t="s">
        <v>49</v>
      </c>
      <c r="AV82" t="s">
        <v>49</v>
      </c>
      <c r="AW82" t="s">
        <v>49</v>
      </c>
      <c r="AX82" t="s">
        <v>49</v>
      </c>
      <c r="AY82" t="s">
        <v>49</v>
      </c>
    </row>
    <row r="83" spans="1:51" ht="16.05" customHeight="1" x14ac:dyDescent="0.3">
      <c r="A83" s="2" t="s">
        <v>196</v>
      </c>
      <c r="B83" s="3" t="s">
        <v>187</v>
      </c>
      <c r="C83" s="14" t="s">
        <v>191</v>
      </c>
      <c r="D83" s="3" t="s">
        <v>50</v>
      </c>
      <c r="E83" s="3" t="s">
        <v>53</v>
      </c>
      <c r="F83" s="3" t="s">
        <v>83</v>
      </c>
      <c r="G83" s="8" t="s">
        <v>471</v>
      </c>
      <c r="H83" s="9" t="s">
        <v>70</v>
      </c>
      <c r="I83" s="6">
        <v>45960</v>
      </c>
      <c r="J83" s="3">
        <v>46971000</v>
      </c>
      <c r="K83" s="6">
        <v>46038</v>
      </c>
      <c r="L83" s="19">
        <f t="shared" si="5"/>
        <v>46052</v>
      </c>
      <c r="M83" s="6">
        <f t="shared" si="4"/>
        <v>46067.5</v>
      </c>
      <c r="N83" t="s">
        <v>49</v>
      </c>
      <c r="O83" t="s">
        <v>49</v>
      </c>
      <c r="P83">
        <v>0.5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s="3">
        <v>0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 t="s">
        <v>49</v>
      </c>
      <c r="AN83" t="s">
        <v>49</v>
      </c>
      <c r="AO83" t="s">
        <v>49</v>
      </c>
      <c r="AP83" s="3">
        <v>0</v>
      </c>
      <c r="AQ83" t="s">
        <v>49</v>
      </c>
      <c r="AR83" t="s">
        <v>49</v>
      </c>
      <c r="AS83" t="s">
        <v>49</v>
      </c>
      <c r="AT83" t="s">
        <v>49</v>
      </c>
      <c r="AU83" s="5" t="s">
        <v>49</v>
      </c>
      <c r="AV83" t="s">
        <v>49</v>
      </c>
      <c r="AW83" t="s">
        <v>49</v>
      </c>
      <c r="AX83" t="s">
        <v>49</v>
      </c>
      <c r="AY83" t="s">
        <v>49</v>
      </c>
    </row>
    <row r="84" spans="1:51" ht="16.05" customHeight="1" x14ac:dyDescent="0.3">
      <c r="A84" s="2" t="s">
        <v>197</v>
      </c>
      <c r="B84" s="3" t="s">
        <v>187</v>
      </c>
      <c r="C84" s="14" t="s">
        <v>191</v>
      </c>
      <c r="D84" s="3" t="s">
        <v>50</v>
      </c>
      <c r="E84" s="3" t="s">
        <v>53</v>
      </c>
      <c r="F84" s="3" t="s">
        <v>83</v>
      </c>
      <c r="G84" s="10" t="s">
        <v>132</v>
      </c>
      <c r="H84" s="10" t="s">
        <v>133</v>
      </c>
      <c r="I84" s="6">
        <v>45978</v>
      </c>
      <c r="J84" s="3">
        <v>42305900</v>
      </c>
      <c r="K84" s="6">
        <v>46038</v>
      </c>
      <c r="L84" s="19">
        <f t="shared" si="5"/>
        <v>46070</v>
      </c>
      <c r="M84" s="6">
        <f t="shared" si="4"/>
        <v>46084</v>
      </c>
      <c r="N84" t="s">
        <v>49</v>
      </c>
      <c r="O84" t="s">
        <v>49</v>
      </c>
      <c r="P84">
        <v>0.5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s="3">
        <v>0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49</v>
      </c>
      <c r="AM84" t="s">
        <v>49</v>
      </c>
      <c r="AN84" t="s">
        <v>49</v>
      </c>
      <c r="AO84" t="s">
        <v>49</v>
      </c>
      <c r="AP84" s="3">
        <v>0</v>
      </c>
      <c r="AQ84" t="s">
        <v>49</v>
      </c>
      <c r="AR84" t="s">
        <v>49</v>
      </c>
      <c r="AS84" t="s">
        <v>49</v>
      </c>
      <c r="AT84" t="s">
        <v>49</v>
      </c>
      <c r="AU84" s="5" t="s">
        <v>49</v>
      </c>
      <c r="AV84" t="s">
        <v>49</v>
      </c>
      <c r="AW84" t="s">
        <v>49</v>
      </c>
      <c r="AX84" t="s">
        <v>49</v>
      </c>
      <c r="AY84" t="s">
        <v>49</v>
      </c>
    </row>
    <row r="85" spans="1:51" ht="16.05" customHeight="1" x14ac:dyDescent="0.3">
      <c r="A85" s="2" t="s">
        <v>198</v>
      </c>
      <c r="B85" s="3" t="s">
        <v>187</v>
      </c>
      <c r="C85" s="14" t="s">
        <v>191</v>
      </c>
      <c r="D85" s="3" t="s">
        <v>50</v>
      </c>
      <c r="E85" s="3" t="s">
        <v>53</v>
      </c>
      <c r="F85" s="3" t="s">
        <v>83</v>
      </c>
      <c r="G85" s="10" t="s">
        <v>132</v>
      </c>
      <c r="H85" s="10" t="s">
        <v>133</v>
      </c>
      <c r="I85" s="6">
        <v>45978</v>
      </c>
      <c r="J85" s="3">
        <v>42522400</v>
      </c>
      <c r="K85" s="6">
        <v>46038</v>
      </c>
      <c r="L85" s="19">
        <f t="shared" si="5"/>
        <v>46070</v>
      </c>
      <c r="M85" s="6">
        <f t="shared" si="4"/>
        <v>46084</v>
      </c>
      <c r="N85" t="s">
        <v>49</v>
      </c>
      <c r="O85" t="s">
        <v>49</v>
      </c>
      <c r="P85">
        <v>0.5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s="3">
        <v>0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 t="s">
        <v>49</v>
      </c>
      <c r="AN85" t="s">
        <v>49</v>
      </c>
      <c r="AO85" t="s">
        <v>49</v>
      </c>
      <c r="AP85" s="3">
        <v>0</v>
      </c>
      <c r="AQ85" t="s">
        <v>49</v>
      </c>
      <c r="AR85" t="s">
        <v>49</v>
      </c>
      <c r="AS85" t="s">
        <v>49</v>
      </c>
      <c r="AT85" t="s">
        <v>49</v>
      </c>
      <c r="AU85" s="5" t="s">
        <v>49</v>
      </c>
      <c r="AV85" t="s">
        <v>49</v>
      </c>
      <c r="AW85" t="s">
        <v>49</v>
      </c>
      <c r="AX85" t="s">
        <v>49</v>
      </c>
      <c r="AY85" t="s">
        <v>49</v>
      </c>
    </row>
    <row r="86" spans="1:51" ht="16.05" customHeight="1" x14ac:dyDescent="0.3">
      <c r="A86" s="2" t="s">
        <v>199</v>
      </c>
      <c r="B86" s="3" t="s">
        <v>187</v>
      </c>
      <c r="C86" s="14" t="s">
        <v>191</v>
      </c>
      <c r="D86" s="3" t="s">
        <v>50</v>
      </c>
      <c r="E86" s="3" t="s">
        <v>53</v>
      </c>
      <c r="F86" s="3" t="s">
        <v>83</v>
      </c>
      <c r="G86" s="10" t="s">
        <v>132</v>
      </c>
      <c r="H86" s="10" t="s">
        <v>133</v>
      </c>
      <c r="I86" s="6">
        <v>45960</v>
      </c>
      <c r="J86" s="3">
        <v>4661500</v>
      </c>
      <c r="K86" s="6">
        <v>46038</v>
      </c>
      <c r="L86" s="19">
        <f t="shared" si="5"/>
        <v>46052</v>
      </c>
      <c r="M86" s="6">
        <f t="shared" si="4"/>
        <v>46067.5</v>
      </c>
      <c r="N86" t="s">
        <v>49</v>
      </c>
      <c r="O86" t="s">
        <v>49</v>
      </c>
      <c r="P86">
        <v>0.5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s="3">
        <v>0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  <c r="AN86" t="s">
        <v>49</v>
      </c>
      <c r="AO86" t="s">
        <v>49</v>
      </c>
      <c r="AP86" s="3">
        <v>0</v>
      </c>
      <c r="AQ86" t="s">
        <v>49</v>
      </c>
      <c r="AR86" t="s">
        <v>49</v>
      </c>
      <c r="AS86" t="s">
        <v>49</v>
      </c>
      <c r="AT86" t="s">
        <v>49</v>
      </c>
      <c r="AU86" s="5" t="s">
        <v>49</v>
      </c>
      <c r="AV86" t="s">
        <v>49</v>
      </c>
      <c r="AW86" t="s">
        <v>49</v>
      </c>
      <c r="AX86" t="s">
        <v>49</v>
      </c>
      <c r="AY86" t="s">
        <v>49</v>
      </c>
    </row>
    <row r="87" spans="1:51" ht="16.05" customHeight="1" x14ac:dyDescent="0.3">
      <c r="A87" s="2" t="s">
        <v>200</v>
      </c>
      <c r="B87" s="3" t="s">
        <v>180</v>
      </c>
      <c r="C87" s="14" t="s">
        <v>191</v>
      </c>
      <c r="D87" s="3" t="s">
        <v>101</v>
      </c>
      <c r="E87" s="3" t="s">
        <v>103</v>
      </c>
      <c r="F87" s="3" t="s">
        <v>106</v>
      </c>
      <c r="G87" s="9" t="s">
        <v>135</v>
      </c>
      <c r="H87" s="10" t="s">
        <v>133</v>
      </c>
      <c r="I87" s="6">
        <v>46106</v>
      </c>
      <c r="J87" s="3">
        <v>440000</v>
      </c>
      <c r="K87" s="6">
        <v>46126</v>
      </c>
      <c r="L87" s="19">
        <v>46143</v>
      </c>
      <c r="M87" s="6">
        <f t="shared" si="4"/>
        <v>46508</v>
      </c>
      <c r="N87" s="3" t="s">
        <v>177</v>
      </c>
      <c r="O87" s="3" t="s">
        <v>164</v>
      </c>
      <c r="P87" s="3">
        <v>12</v>
      </c>
      <c r="Q87" s="3">
        <v>0</v>
      </c>
      <c r="R87" s="3">
        <v>0</v>
      </c>
      <c r="S87" s="3">
        <v>0</v>
      </c>
      <c r="T87" s="3">
        <v>0</v>
      </c>
      <c r="U87" s="3">
        <v>29333.33</v>
      </c>
      <c r="V87" s="3">
        <v>29333.33</v>
      </c>
      <c r="W87" s="3">
        <v>29333.33</v>
      </c>
      <c r="X87" s="3">
        <v>29333.33</v>
      </c>
      <c r="Y87" s="3">
        <v>29333.33</v>
      </c>
      <c r="Z87" s="3">
        <v>29333.33</v>
      </c>
      <c r="AA87" s="3">
        <v>29333.33</v>
      </c>
      <c r="AB87" s="3">
        <v>29333.33</v>
      </c>
      <c r="AC87" s="3">
        <v>234666.6400000001</v>
      </c>
      <c r="AD87" s="3">
        <v>29333.33</v>
      </c>
      <c r="AE87" s="3">
        <v>29333.33</v>
      </c>
      <c r="AF87" s="3">
        <v>29333.33</v>
      </c>
      <c r="AG87" s="3">
        <v>29333.33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117333.32</v>
      </c>
      <c r="AQ87" t="s">
        <v>49</v>
      </c>
      <c r="AR87" t="s">
        <v>49</v>
      </c>
      <c r="AS87" t="s">
        <v>49</v>
      </c>
      <c r="AT87" t="s">
        <v>49</v>
      </c>
      <c r="AU87" s="5" t="s">
        <v>49</v>
      </c>
      <c r="AV87" t="s">
        <v>49</v>
      </c>
      <c r="AW87" t="s">
        <v>49</v>
      </c>
      <c r="AX87" t="s">
        <v>49</v>
      </c>
      <c r="AY87" t="s">
        <v>49</v>
      </c>
    </row>
    <row r="88" spans="1:51" ht="16.05" customHeight="1" x14ac:dyDescent="0.3">
      <c r="A88" s="2" t="s">
        <v>201</v>
      </c>
      <c r="B88" s="3" t="s">
        <v>180</v>
      </c>
      <c r="C88" s="14" t="s">
        <v>191</v>
      </c>
      <c r="D88" s="3" t="s">
        <v>101</v>
      </c>
      <c r="E88" s="3" t="s">
        <v>103</v>
      </c>
      <c r="F88" s="3" t="s">
        <v>106</v>
      </c>
      <c r="G88" s="9" t="s">
        <v>135</v>
      </c>
      <c r="H88" s="10" t="s">
        <v>133</v>
      </c>
      <c r="I88" s="6">
        <v>46106</v>
      </c>
      <c r="J88" s="3">
        <v>200000</v>
      </c>
      <c r="K88" t="s">
        <v>49</v>
      </c>
      <c r="L88" s="19">
        <v>46143</v>
      </c>
      <c r="M88" s="6">
        <f t="shared" si="4"/>
        <v>46327</v>
      </c>
      <c r="N88" s="3" t="s">
        <v>177</v>
      </c>
      <c r="O88" s="3" t="s">
        <v>164</v>
      </c>
      <c r="P88" s="3">
        <v>6</v>
      </c>
      <c r="Q88" s="3">
        <v>0</v>
      </c>
      <c r="R88" s="3">
        <v>0</v>
      </c>
      <c r="S88" s="3">
        <v>0</v>
      </c>
      <c r="T88" s="3">
        <v>0</v>
      </c>
      <c r="U88" s="3">
        <v>26666.67</v>
      </c>
      <c r="V88" s="3">
        <v>26666.67</v>
      </c>
      <c r="W88" s="3">
        <v>26666.67</v>
      </c>
      <c r="X88" s="3">
        <v>26666.67</v>
      </c>
      <c r="Y88" s="3">
        <v>26666.67</v>
      </c>
      <c r="Z88" s="3">
        <v>26666.67</v>
      </c>
      <c r="AA88" s="3">
        <v>0</v>
      </c>
      <c r="AB88" s="3">
        <v>0</v>
      </c>
      <c r="AC88" s="3">
        <v>160000.01999999999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t="s">
        <v>49</v>
      </c>
      <c r="AR88" t="s">
        <v>49</v>
      </c>
      <c r="AS88" t="s">
        <v>49</v>
      </c>
      <c r="AT88" t="s">
        <v>49</v>
      </c>
      <c r="AU88" s="5" t="s">
        <v>49</v>
      </c>
      <c r="AV88" t="s">
        <v>49</v>
      </c>
      <c r="AW88" t="s">
        <v>49</v>
      </c>
      <c r="AX88" t="s">
        <v>49</v>
      </c>
      <c r="AY88" t="s">
        <v>49</v>
      </c>
    </row>
    <row r="89" spans="1:51" ht="16.05" customHeight="1" x14ac:dyDescent="0.3">
      <c r="A89" s="22" t="s">
        <v>202</v>
      </c>
      <c r="B89" s="3" t="s">
        <v>203</v>
      </c>
      <c r="C89" s="14" t="s">
        <v>191</v>
      </c>
      <c r="D89" s="3" t="s">
        <v>55</v>
      </c>
      <c r="E89" s="3" t="s">
        <v>57</v>
      </c>
      <c r="F89" s="3" t="s">
        <v>56</v>
      </c>
      <c r="G89" s="5" t="s">
        <v>49</v>
      </c>
      <c r="H89" s="9" t="s">
        <v>70</v>
      </c>
      <c r="I89" s="6">
        <v>46118</v>
      </c>
      <c r="J89" s="3">
        <v>22000</v>
      </c>
      <c r="K89" t="s">
        <v>49</v>
      </c>
      <c r="L89" s="19">
        <v>46082</v>
      </c>
      <c r="M89" s="6">
        <f t="shared" si="4"/>
        <v>46097.5</v>
      </c>
      <c r="N89" s="3" t="s">
        <v>204</v>
      </c>
      <c r="O89" t="s">
        <v>49</v>
      </c>
      <c r="P89">
        <v>0.5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s="3">
        <v>0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s="3">
        <v>0</v>
      </c>
      <c r="AQ89" t="s">
        <v>49</v>
      </c>
      <c r="AR89" t="s">
        <v>49</v>
      </c>
      <c r="AS89" t="s">
        <v>49</v>
      </c>
      <c r="AT89" t="s">
        <v>49</v>
      </c>
      <c r="AU89" s="5" t="s">
        <v>49</v>
      </c>
      <c r="AV89" t="s">
        <v>49</v>
      </c>
      <c r="AW89" t="s">
        <v>49</v>
      </c>
      <c r="AX89" t="s">
        <v>49</v>
      </c>
      <c r="AY89" t="s">
        <v>49</v>
      </c>
    </row>
    <row r="90" spans="1:51" ht="16.05" customHeight="1" x14ac:dyDescent="0.3">
      <c r="A90" s="22" t="s">
        <v>206</v>
      </c>
      <c r="B90" s="3" t="s">
        <v>207</v>
      </c>
      <c r="C90" s="15" t="s">
        <v>205</v>
      </c>
      <c r="D90" s="3" t="s">
        <v>55</v>
      </c>
      <c r="E90" s="3" t="s">
        <v>57</v>
      </c>
      <c r="F90" s="3" t="s">
        <v>121</v>
      </c>
      <c r="G90" s="5" t="s">
        <v>49</v>
      </c>
      <c r="H90" s="5" t="s">
        <v>49</v>
      </c>
      <c r="I90" s="6">
        <v>45147</v>
      </c>
      <c r="J90" s="3">
        <v>21400</v>
      </c>
      <c r="K90" s="6">
        <v>45148</v>
      </c>
      <c r="L90" s="18">
        <v>45139</v>
      </c>
      <c r="M90" s="6">
        <f t="shared" si="4"/>
        <v>45154.5</v>
      </c>
      <c r="N90" t="s">
        <v>49</v>
      </c>
      <c r="O90" s="3" t="s">
        <v>208</v>
      </c>
      <c r="P90">
        <v>0.5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49</v>
      </c>
      <c r="Z90" t="s">
        <v>49</v>
      </c>
      <c r="AA90" t="s">
        <v>49</v>
      </c>
      <c r="AB90" t="s">
        <v>49</v>
      </c>
      <c r="AC90" s="3">
        <v>0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 t="s">
        <v>49</v>
      </c>
      <c r="AN90" t="s">
        <v>49</v>
      </c>
      <c r="AO90" t="s">
        <v>49</v>
      </c>
      <c r="AP90" s="3">
        <v>0</v>
      </c>
      <c r="AQ90" t="s">
        <v>49</v>
      </c>
      <c r="AR90" t="s">
        <v>49</v>
      </c>
      <c r="AS90" t="s">
        <v>49</v>
      </c>
      <c r="AT90" t="s">
        <v>49</v>
      </c>
      <c r="AU90" s="5" t="s">
        <v>49</v>
      </c>
      <c r="AV90" t="s">
        <v>49</v>
      </c>
      <c r="AW90" t="s">
        <v>49</v>
      </c>
      <c r="AX90" t="s">
        <v>49</v>
      </c>
      <c r="AY90" t="s">
        <v>49</v>
      </c>
    </row>
    <row r="91" spans="1:51" ht="16.05" customHeight="1" x14ac:dyDescent="0.3">
      <c r="A91" s="22" t="s">
        <v>209</v>
      </c>
      <c r="B91" s="3" t="s">
        <v>210</v>
      </c>
      <c r="C91" s="15" t="s">
        <v>205</v>
      </c>
      <c r="D91" s="3" t="s">
        <v>55</v>
      </c>
      <c r="E91" s="3" t="s">
        <v>57</v>
      </c>
      <c r="F91" s="3" t="s">
        <v>94</v>
      </c>
      <c r="G91" s="5" t="s">
        <v>49</v>
      </c>
      <c r="H91" s="5" t="s">
        <v>49</v>
      </c>
      <c r="I91" s="6">
        <v>45132</v>
      </c>
      <c r="J91" s="3">
        <v>15000</v>
      </c>
      <c r="K91" s="6">
        <v>45147</v>
      </c>
      <c r="L91" s="18">
        <v>45139</v>
      </c>
      <c r="M91" s="6">
        <f t="shared" si="4"/>
        <v>45154.5</v>
      </c>
      <c r="N91" t="s">
        <v>49</v>
      </c>
      <c r="O91" s="3" t="s">
        <v>208</v>
      </c>
      <c r="P91">
        <v>0.5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s="3">
        <v>0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  <c r="AK91" t="s">
        <v>49</v>
      </c>
      <c r="AL91" t="s">
        <v>49</v>
      </c>
      <c r="AM91" t="s">
        <v>49</v>
      </c>
      <c r="AN91" t="s">
        <v>49</v>
      </c>
      <c r="AO91" t="s">
        <v>49</v>
      </c>
      <c r="AP91" s="3">
        <v>0</v>
      </c>
      <c r="AQ91" t="s">
        <v>49</v>
      </c>
      <c r="AR91" t="s">
        <v>49</v>
      </c>
      <c r="AS91" t="s">
        <v>49</v>
      </c>
      <c r="AT91" t="s">
        <v>49</v>
      </c>
      <c r="AU91" s="5" t="s">
        <v>49</v>
      </c>
      <c r="AV91" t="s">
        <v>49</v>
      </c>
      <c r="AW91" t="s">
        <v>49</v>
      </c>
      <c r="AX91" t="s">
        <v>49</v>
      </c>
      <c r="AY91" t="s">
        <v>49</v>
      </c>
    </row>
    <row r="92" spans="1:51" ht="16.05" customHeight="1" x14ac:dyDescent="0.3">
      <c r="A92" s="22" t="s">
        <v>211</v>
      </c>
      <c r="B92" s="3" t="s">
        <v>212</v>
      </c>
      <c r="C92" s="15" t="s">
        <v>205</v>
      </c>
      <c r="D92" s="3" t="s">
        <v>55</v>
      </c>
      <c r="E92" s="3" t="s">
        <v>57</v>
      </c>
      <c r="F92" s="3" t="s">
        <v>94</v>
      </c>
      <c r="G92" s="5" t="s">
        <v>49</v>
      </c>
      <c r="H92" s="5" t="s">
        <v>49</v>
      </c>
      <c r="I92" s="6">
        <v>45240</v>
      </c>
      <c r="J92" s="3">
        <v>4500</v>
      </c>
      <c r="K92" s="6">
        <v>45241</v>
      </c>
      <c r="L92" s="18">
        <v>45231</v>
      </c>
      <c r="M92" s="6">
        <f t="shared" si="4"/>
        <v>45246</v>
      </c>
      <c r="N92" t="s">
        <v>49</v>
      </c>
      <c r="O92" s="3" t="s">
        <v>208</v>
      </c>
      <c r="P92">
        <v>0.5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s="3">
        <v>0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49</v>
      </c>
      <c r="AM92" t="s">
        <v>49</v>
      </c>
      <c r="AN92" t="s">
        <v>49</v>
      </c>
      <c r="AO92" t="s">
        <v>49</v>
      </c>
      <c r="AP92" s="3">
        <v>0</v>
      </c>
      <c r="AQ92" t="s">
        <v>49</v>
      </c>
      <c r="AR92" t="s">
        <v>49</v>
      </c>
      <c r="AS92" t="s">
        <v>49</v>
      </c>
      <c r="AT92" t="s">
        <v>49</v>
      </c>
      <c r="AU92" s="5" t="s">
        <v>49</v>
      </c>
      <c r="AV92" t="s">
        <v>49</v>
      </c>
      <c r="AW92" t="s">
        <v>49</v>
      </c>
      <c r="AX92" t="s">
        <v>49</v>
      </c>
      <c r="AY92" t="s">
        <v>49</v>
      </c>
    </row>
    <row r="93" spans="1:51" ht="16.05" customHeight="1" x14ac:dyDescent="0.3">
      <c r="A93" s="22" t="s">
        <v>213</v>
      </c>
      <c r="B93" s="3" t="s">
        <v>171</v>
      </c>
      <c r="C93" s="15" t="s">
        <v>205</v>
      </c>
      <c r="D93" s="3" t="s">
        <v>55</v>
      </c>
      <c r="E93" s="3" t="s">
        <v>57</v>
      </c>
      <c r="F93" s="3" t="s">
        <v>121</v>
      </c>
      <c r="G93" s="5" t="s">
        <v>49</v>
      </c>
      <c r="H93" s="5" t="s">
        <v>49</v>
      </c>
      <c r="I93" s="6">
        <v>45331</v>
      </c>
      <c r="J93" s="3">
        <v>24000</v>
      </c>
      <c r="K93" s="6">
        <v>45332</v>
      </c>
      <c r="L93" s="18">
        <v>45332</v>
      </c>
      <c r="M93" s="6">
        <f t="shared" si="4"/>
        <v>45346.5</v>
      </c>
      <c r="N93" t="s">
        <v>49</v>
      </c>
      <c r="O93" s="3" t="s">
        <v>214</v>
      </c>
      <c r="P93">
        <v>0.5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s="3">
        <v>0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 t="s">
        <v>49</v>
      </c>
      <c r="AN93" t="s">
        <v>49</v>
      </c>
      <c r="AO93" t="s">
        <v>49</v>
      </c>
      <c r="AP93" s="3">
        <v>0</v>
      </c>
      <c r="AQ93" t="s">
        <v>49</v>
      </c>
      <c r="AR93" t="s">
        <v>49</v>
      </c>
      <c r="AS93" t="s">
        <v>49</v>
      </c>
      <c r="AT93" t="s">
        <v>49</v>
      </c>
      <c r="AU93" s="5" t="s">
        <v>49</v>
      </c>
      <c r="AV93" t="s">
        <v>49</v>
      </c>
      <c r="AW93" t="s">
        <v>49</v>
      </c>
      <c r="AX93" t="s">
        <v>49</v>
      </c>
      <c r="AY93" t="s">
        <v>49</v>
      </c>
    </row>
    <row r="94" spans="1:51" ht="16.05" customHeight="1" x14ac:dyDescent="0.3">
      <c r="A94" s="22" t="s">
        <v>215</v>
      </c>
      <c r="B94" s="3" t="s">
        <v>210</v>
      </c>
      <c r="C94" s="15" t="s">
        <v>205</v>
      </c>
      <c r="D94" s="3" t="s">
        <v>55</v>
      </c>
      <c r="E94" s="3" t="s">
        <v>57</v>
      </c>
      <c r="F94" s="3" t="s">
        <v>94</v>
      </c>
      <c r="G94" s="5" t="s">
        <v>49</v>
      </c>
      <c r="H94" s="5" t="s">
        <v>49</v>
      </c>
      <c r="I94" s="6">
        <v>45331</v>
      </c>
      <c r="J94" s="3">
        <v>18000</v>
      </c>
      <c r="K94" s="6">
        <v>45336</v>
      </c>
      <c r="L94" s="18">
        <v>45323</v>
      </c>
      <c r="M94" s="6">
        <f t="shared" si="4"/>
        <v>45337.5</v>
      </c>
      <c r="N94" t="s">
        <v>49</v>
      </c>
      <c r="O94" s="3" t="s">
        <v>214</v>
      </c>
      <c r="P94">
        <v>0.5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s="3">
        <v>0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49</v>
      </c>
      <c r="AM94" t="s">
        <v>49</v>
      </c>
      <c r="AN94" t="s">
        <v>49</v>
      </c>
      <c r="AO94" t="s">
        <v>49</v>
      </c>
      <c r="AP94" s="3">
        <v>0</v>
      </c>
      <c r="AQ94" t="s">
        <v>49</v>
      </c>
      <c r="AR94" t="s">
        <v>49</v>
      </c>
      <c r="AS94" t="s">
        <v>49</v>
      </c>
      <c r="AT94" t="s">
        <v>49</v>
      </c>
      <c r="AU94" s="5" t="s">
        <v>49</v>
      </c>
      <c r="AV94" t="s">
        <v>49</v>
      </c>
      <c r="AW94" t="s">
        <v>49</v>
      </c>
      <c r="AX94" t="s">
        <v>49</v>
      </c>
      <c r="AY94" t="s">
        <v>49</v>
      </c>
    </row>
    <row r="95" spans="1:51" ht="16.05" customHeight="1" x14ac:dyDescent="0.3">
      <c r="A95" s="22" t="s">
        <v>216</v>
      </c>
      <c r="B95" s="3" t="s">
        <v>217</v>
      </c>
      <c r="C95" s="15" t="s">
        <v>205</v>
      </c>
      <c r="D95" s="3" t="s">
        <v>55</v>
      </c>
      <c r="E95" s="3" t="s">
        <v>57</v>
      </c>
      <c r="F95" s="3" t="s">
        <v>94</v>
      </c>
      <c r="G95" s="5" t="s">
        <v>49</v>
      </c>
      <c r="H95" s="5" t="s">
        <v>49</v>
      </c>
      <c r="I95" s="6">
        <v>45355</v>
      </c>
      <c r="J95" s="3">
        <v>0</v>
      </c>
      <c r="K95" s="6">
        <v>45356</v>
      </c>
      <c r="L95" s="18">
        <v>45352</v>
      </c>
      <c r="M95" s="6">
        <f t="shared" si="4"/>
        <v>45367.5</v>
      </c>
      <c r="N95" t="s">
        <v>49</v>
      </c>
      <c r="O95" s="3" t="s">
        <v>214</v>
      </c>
      <c r="P95">
        <v>0.5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s="3">
        <v>0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 t="s">
        <v>49</v>
      </c>
      <c r="AN95" t="s">
        <v>49</v>
      </c>
      <c r="AO95" t="s">
        <v>49</v>
      </c>
      <c r="AP95" s="3">
        <v>0</v>
      </c>
      <c r="AQ95" s="3" t="s">
        <v>218</v>
      </c>
      <c r="AR95" t="s">
        <v>49</v>
      </c>
      <c r="AS95" t="s">
        <v>49</v>
      </c>
      <c r="AT95" t="s">
        <v>49</v>
      </c>
      <c r="AU95" s="5" t="s">
        <v>49</v>
      </c>
      <c r="AV95" t="s">
        <v>49</v>
      </c>
      <c r="AW95" t="s">
        <v>49</v>
      </c>
      <c r="AX95" t="s">
        <v>49</v>
      </c>
      <c r="AY95" t="s">
        <v>49</v>
      </c>
    </row>
    <row r="96" spans="1:51" ht="16.05" customHeight="1" x14ac:dyDescent="0.3">
      <c r="A96" s="22" t="s">
        <v>219</v>
      </c>
      <c r="B96" s="3" t="s">
        <v>171</v>
      </c>
      <c r="C96" s="15" t="s">
        <v>205</v>
      </c>
      <c r="D96" s="3" t="s">
        <v>55</v>
      </c>
      <c r="E96" s="3" t="s">
        <v>57</v>
      </c>
      <c r="F96" s="3" t="s">
        <v>121</v>
      </c>
      <c r="G96" s="5" t="s">
        <v>49</v>
      </c>
      <c r="H96" s="5" t="s">
        <v>49</v>
      </c>
      <c r="I96" s="6">
        <v>45344</v>
      </c>
      <c r="J96" s="3">
        <v>36000</v>
      </c>
      <c r="K96" s="6">
        <v>45366</v>
      </c>
      <c r="L96" s="18">
        <v>45352</v>
      </c>
      <c r="M96" s="6">
        <f t="shared" si="4"/>
        <v>45367.5</v>
      </c>
      <c r="N96" t="s">
        <v>49</v>
      </c>
      <c r="O96" s="3" t="s">
        <v>214</v>
      </c>
      <c r="P96">
        <v>0.5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s="3">
        <v>0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 t="s">
        <v>49</v>
      </c>
      <c r="AN96" t="s">
        <v>49</v>
      </c>
      <c r="AO96" t="s">
        <v>49</v>
      </c>
      <c r="AP96" s="3">
        <v>0</v>
      </c>
      <c r="AQ96" t="s">
        <v>49</v>
      </c>
      <c r="AR96" t="s">
        <v>49</v>
      </c>
      <c r="AS96" t="s">
        <v>49</v>
      </c>
      <c r="AT96" t="s">
        <v>49</v>
      </c>
      <c r="AU96" s="5" t="s">
        <v>49</v>
      </c>
      <c r="AV96" t="s">
        <v>49</v>
      </c>
      <c r="AW96" t="s">
        <v>49</v>
      </c>
      <c r="AX96" t="s">
        <v>49</v>
      </c>
      <c r="AY96" t="s">
        <v>49</v>
      </c>
    </row>
    <row r="97" spans="1:51" ht="16.05" customHeight="1" x14ac:dyDescent="0.3">
      <c r="A97" s="22" t="s">
        <v>220</v>
      </c>
      <c r="B97" s="3" t="s">
        <v>171</v>
      </c>
      <c r="C97" s="15" t="s">
        <v>205</v>
      </c>
      <c r="D97" s="3" t="s">
        <v>55</v>
      </c>
      <c r="E97" s="3" t="s">
        <v>57</v>
      </c>
      <c r="F97" s="3" t="s">
        <v>121</v>
      </c>
      <c r="G97" s="5" t="s">
        <v>49</v>
      </c>
      <c r="H97" s="5" t="s">
        <v>49</v>
      </c>
      <c r="I97" s="6">
        <v>45366</v>
      </c>
      <c r="J97" s="3">
        <v>16000</v>
      </c>
      <c r="K97" s="6">
        <v>45379</v>
      </c>
      <c r="L97" s="18">
        <v>45352</v>
      </c>
      <c r="M97" s="6">
        <f t="shared" si="4"/>
        <v>45367.5</v>
      </c>
      <c r="N97" t="s">
        <v>49</v>
      </c>
      <c r="O97" s="3" t="s">
        <v>214</v>
      </c>
      <c r="P97">
        <v>0.5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s="3">
        <v>0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49</v>
      </c>
      <c r="AM97" t="s">
        <v>49</v>
      </c>
      <c r="AN97" t="s">
        <v>49</v>
      </c>
      <c r="AO97" t="s">
        <v>49</v>
      </c>
      <c r="AP97" s="3">
        <v>0</v>
      </c>
      <c r="AQ97" t="s">
        <v>49</v>
      </c>
      <c r="AR97" t="s">
        <v>49</v>
      </c>
      <c r="AS97" t="s">
        <v>49</v>
      </c>
      <c r="AT97" t="s">
        <v>49</v>
      </c>
      <c r="AU97" s="5" t="s">
        <v>49</v>
      </c>
      <c r="AV97" t="s">
        <v>49</v>
      </c>
      <c r="AW97" t="s">
        <v>49</v>
      </c>
      <c r="AX97" t="s">
        <v>49</v>
      </c>
      <c r="AY97" t="s">
        <v>49</v>
      </c>
    </row>
    <row r="98" spans="1:51" ht="16.05" customHeight="1" x14ac:dyDescent="0.3">
      <c r="A98" s="22" t="s">
        <v>221</v>
      </c>
      <c r="B98" s="3" t="s">
        <v>171</v>
      </c>
      <c r="C98" s="15" t="s">
        <v>205</v>
      </c>
      <c r="D98" s="3" t="s">
        <v>55</v>
      </c>
      <c r="E98" s="3" t="s">
        <v>57</v>
      </c>
      <c r="F98" s="3" t="s">
        <v>121</v>
      </c>
      <c r="G98" s="5" t="s">
        <v>49</v>
      </c>
      <c r="H98" s="5" t="s">
        <v>49</v>
      </c>
      <c r="I98" s="6">
        <v>45372</v>
      </c>
      <c r="J98" s="3">
        <v>12000</v>
      </c>
      <c r="K98" s="6">
        <v>45399</v>
      </c>
      <c r="L98" s="18">
        <v>45383</v>
      </c>
      <c r="M98" s="6">
        <f t="shared" si="4"/>
        <v>45398</v>
      </c>
      <c r="N98" t="s">
        <v>49</v>
      </c>
      <c r="O98" s="3" t="s">
        <v>214</v>
      </c>
      <c r="P98">
        <v>0.5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  <c r="Z98" t="s">
        <v>49</v>
      </c>
      <c r="AA98" t="s">
        <v>49</v>
      </c>
      <c r="AB98" t="s">
        <v>49</v>
      </c>
      <c r="AC98" s="3">
        <v>0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49</v>
      </c>
      <c r="AM98" t="s">
        <v>49</v>
      </c>
      <c r="AN98" t="s">
        <v>49</v>
      </c>
      <c r="AO98" t="s">
        <v>49</v>
      </c>
      <c r="AP98" s="3">
        <v>0</v>
      </c>
      <c r="AQ98" t="s">
        <v>49</v>
      </c>
      <c r="AR98" t="s">
        <v>49</v>
      </c>
      <c r="AS98" t="s">
        <v>49</v>
      </c>
      <c r="AT98" t="s">
        <v>49</v>
      </c>
      <c r="AU98" s="5" t="s">
        <v>49</v>
      </c>
      <c r="AV98" t="s">
        <v>49</v>
      </c>
      <c r="AW98" t="s">
        <v>49</v>
      </c>
      <c r="AX98" t="s">
        <v>49</v>
      </c>
      <c r="AY98" t="s">
        <v>49</v>
      </c>
    </row>
    <row r="99" spans="1:51" ht="16.05" customHeight="1" x14ac:dyDescent="0.3">
      <c r="A99" s="22" t="s">
        <v>222</v>
      </c>
      <c r="B99" s="3" t="s">
        <v>223</v>
      </c>
      <c r="C99" s="15" t="s">
        <v>205</v>
      </c>
      <c r="D99" s="3" t="s">
        <v>55</v>
      </c>
      <c r="E99" s="3" t="s">
        <v>57</v>
      </c>
      <c r="F99" s="3" t="s">
        <v>121</v>
      </c>
      <c r="G99" s="5" t="s">
        <v>49</v>
      </c>
      <c r="H99" s="5" t="s">
        <v>49</v>
      </c>
      <c r="I99" s="6">
        <v>45430</v>
      </c>
      <c r="J99" s="3">
        <v>74800</v>
      </c>
      <c r="K99" s="6">
        <v>45440</v>
      </c>
      <c r="L99" s="18">
        <v>45413</v>
      </c>
      <c r="M99" s="6">
        <f t="shared" si="4"/>
        <v>45428.5</v>
      </c>
      <c r="N99" t="s">
        <v>49</v>
      </c>
      <c r="O99" s="3" t="s">
        <v>214</v>
      </c>
      <c r="P99">
        <v>0.5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s="3">
        <v>0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 t="s">
        <v>49</v>
      </c>
      <c r="AN99" t="s">
        <v>49</v>
      </c>
      <c r="AO99" t="s">
        <v>49</v>
      </c>
      <c r="AP99" s="3">
        <v>0</v>
      </c>
      <c r="AQ99" t="s">
        <v>49</v>
      </c>
      <c r="AR99" t="s">
        <v>49</v>
      </c>
      <c r="AS99" t="s">
        <v>49</v>
      </c>
      <c r="AT99" t="s">
        <v>49</v>
      </c>
      <c r="AU99" s="5" t="s">
        <v>49</v>
      </c>
      <c r="AV99" t="s">
        <v>49</v>
      </c>
      <c r="AW99" t="s">
        <v>49</v>
      </c>
      <c r="AX99" t="s">
        <v>49</v>
      </c>
      <c r="AY99" t="s">
        <v>49</v>
      </c>
    </row>
    <row r="100" spans="1:51" ht="16.05" customHeight="1" x14ac:dyDescent="0.3">
      <c r="A100" s="22" t="s">
        <v>224</v>
      </c>
      <c r="B100" s="3" t="s">
        <v>223</v>
      </c>
      <c r="C100" s="15" t="s">
        <v>205</v>
      </c>
      <c r="D100" s="3" t="s">
        <v>55</v>
      </c>
      <c r="E100" s="3" t="s">
        <v>57</v>
      </c>
      <c r="F100" s="3" t="s">
        <v>121</v>
      </c>
      <c r="G100" s="5" t="s">
        <v>49</v>
      </c>
      <c r="H100" s="5" t="s">
        <v>49</v>
      </c>
      <c r="I100" s="6">
        <v>45418</v>
      </c>
      <c r="J100" s="3">
        <v>153200</v>
      </c>
      <c r="K100" s="6">
        <v>45456</v>
      </c>
      <c r="L100" s="18">
        <v>45444</v>
      </c>
      <c r="M100" s="6">
        <f t="shared" si="4"/>
        <v>45459</v>
      </c>
      <c r="N100" t="s">
        <v>49</v>
      </c>
      <c r="O100" s="3" t="s">
        <v>214</v>
      </c>
      <c r="P100">
        <v>0.5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49</v>
      </c>
      <c r="Z100" t="s">
        <v>49</v>
      </c>
      <c r="AA100" t="s">
        <v>49</v>
      </c>
      <c r="AB100" t="s">
        <v>49</v>
      </c>
      <c r="AC100" s="3">
        <v>0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49</v>
      </c>
      <c r="AM100" t="s">
        <v>49</v>
      </c>
      <c r="AN100" t="s">
        <v>49</v>
      </c>
      <c r="AO100" t="s">
        <v>49</v>
      </c>
      <c r="AP100" s="3">
        <v>0</v>
      </c>
      <c r="AQ100" t="s">
        <v>49</v>
      </c>
      <c r="AR100" t="s">
        <v>49</v>
      </c>
      <c r="AS100" t="s">
        <v>49</v>
      </c>
      <c r="AT100" t="s">
        <v>49</v>
      </c>
      <c r="AU100" s="5" t="s">
        <v>49</v>
      </c>
      <c r="AV100" t="s">
        <v>49</v>
      </c>
      <c r="AW100" t="s">
        <v>49</v>
      </c>
      <c r="AX100" t="s">
        <v>49</v>
      </c>
      <c r="AY100" t="s">
        <v>49</v>
      </c>
    </row>
    <row r="101" spans="1:51" ht="16.05" customHeight="1" x14ac:dyDescent="0.3">
      <c r="A101" s="22" t="s">
        <v>225</v>
      </c>
      <c r="B101" s="3" t="s">
        <v>223</v>
      </c>
      <c r="C101" s="15" t="s">
        <v>205</v>
      </c>
      <c r="D101" s="3" t="s">
        <v>55</v>
      </c>
      <c r="E101" s="3" t="s">
        <v>57</v>
      </c>
      <c r="F101" s="3" t="s">
        <v>121</v>
      </c>
      <c r="G101" s="5" t="s">
        <v>49</v>
      </c>
      <c r="H101" s="5" t="s">
        <v>49</v>
      </c>
      <c r="I101" s="6">
        <v>45456</v>
      </c>
      <c r="J101" s="3">
        <v>8000</v>
      </c>
      <c r="K101" s="6">
        <v>45456</v>
      </c>
      <c r="L101" s="18">
        <v>45444</v>
      </c>
      <c r="M101" s="6">
        <f t="shared" si="4"/>
        <v>45459</v>
      </c>
      <c r="N101" t="s">
        <v>49</v>
      </c>
      <c r="O101" s="3" t="s">
        <v>214</v>
      </c>
      <c r="P101">
        <v>0.5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49</v>
      </c>
      <c r="Z101" t="s">
        <v>49</v>
      </c>
      <c r="AA101" t="s">
        <v>49</v>
      </c>
      <c r="AB101" t="s">
        <v>49</v>
      </c>
      <c r="AC101" s="3">
        <v>0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 t="s">
        <v>49</v>
      </c>
      <c r="AN101" t="s">
        <v>49</v>
      </c>
      <c r="AO101" t="s">
        <v>49</v>
      </c>
      <c r="AP101" s="3">
        <v>0</v>
      </c>
      <c r="AQ101" t="s">
        <v>49</v>
      </c>
      <c r="AR101" t="s">
        <v>49</v>
      </c>
      <c r="AS101" t="s">
        <v>49</v>
      </c>
      <c r="AT101" t="s">
        <v>49</v>
      </c>
      <c r="AU101" s="5" t="s">
        <v>49</v>
      </c>
      <c r="AV101" t="s">
        <v>49</v>
      </c>
      <c r="AW101" t="s">
        <v>49</v>
      </c>
      <c r="AX101" t="s">
        <v>49</v>
      </c>
      <c r="AY101" t="s">
        <v>49</v>
      </c>
    </row>
    <row r="102" spans="1:51" ht="16.05" customHeight="1" x14ac:dyDescent="0.3">
      <c r="A102" s="22" t="s">
        <v>226</v>
      </c>
      <c r="B102" s="3" t="s">
        <v>227</v>
      </c>
      <c r="C102" s="15" t="s">
        <v>205</v>
      </c>
      <c r="D102" s="3" t="s">
        <v>55</v>
      </c>
      <c r="E102" s="3" t="s">
        <v>57</v>
      </c>
      <c r="F102" s="3" t="s">
        <v>121</v>
      </c>
      <c r="G102" s="5" t="s">
        <v>49</v>
      </c>
      <c r="H102" s="5" t="s">
        <v>49</v>
      </c>
      <c r="I102" s="6">
        <v>45456</v>
      </c>
      <c r="J102" s="3">
        <v>40000</v>
      </c>
      <c r="K102" s="6">
        <v>45503</v>
      </c>
      <c r="L102" s="18">
        <v>45474</v>
      </c>
      <c r="M102" s="6">
        <f t="shared" si="4"/>
        <v>45489.5</v>
      </c>
      <c r="N102" t="s">
        <v>49</v>
      </c>
      <c r="O102" s="3" t="s">
        <v>214</v>
      </c>
      <c r="P102">
        <v>0.5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s="3">
        <v>0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 t="s">
        <v>49</v>
      </c>
      <c r="AN102" t="s">
        <v>49</v>
      </c>
      <c r="AO102" t="s">
        <v>49</v>
      </c>
      <c r="AP102" s="3">
        <v>0</v>
      </c>
      <c r="AQ102" t="s">
        <v>49</v>
      </c>
      <c r="AR102" t="s">
        <v>49</v>
      </c>
      <c r="AS102" t="s">
        <v>49</v>
      </c>
      <c r="AT102" t="s">
        <v>49</v>
      </c>
      <c r="AU102" s="5" t="s">
        <v>49</v>
      </c>
      <c r="AV102" t="s">
        <v>49</v>
      </c>
      <c r="AW102" t="s">
        <v>49</v>
      </c>
      <c r="AX102" t="s">
        <v>49</v>
      </c>
      <c r="AY102" t="s">
        <v>49</v>
      </c>
    </row>
    <row r="103" spans="1:51" ht="16.05" customHeight="1" x14ac:dyDescent="0.3">
      <c r="A103" s="22" t="s">
        <v>228</v>
      </c>
      <c r="B103" s="3" t="s">
        <v>229</v>
      </c>
      <c r="C103" s="15" t="s">
        <v>205</v>
      </c>
      <c r="D103" s="3" t="s">
        <v>55</v>
      </c>
      <c r="E103" s="3" t="s">
        <v>57</v>
      </c>
      <c r="F103" s="3" t="s">
        <v>121</v>
      </c>
      <c r="G103" s="8" t="s">
        <v>471</v>
      </c>
      <c r="H103" s="5" t="s">
        <v>49</v>
      </c>
      <c r="I103" s="6">
        <v>45366</v>
      </c>
      <c r="J103" s="3">
        <v>24000</v>
      </c>
      <c r="K103" s="6">
        <v>45503</v>
      </c>
      <c r="L103" s="18">
        <v>45474</v>
      </c>
      <c r="M103" s="6">
        <f t="shared" si="4"/>
        <v>45489.5</v>
      </c>
      <c r="N103" s="3" t="s">
        <v>49</v>
      </c>
      <c r="O103" s="3" t="s">
        <v>214</v>
      </c>
      <c r="P103">
        <v>0.5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s="3">
        <v>0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 t="s">
        <v>49</v>
      </c>
      <c r="AN103" t="s">
        <v>49</v>
      </c>
      <c r="AO103" t="s">
        <v>49</v>
      </c>
      <c r="AP103" s="3">
        <v>0</v>
      </c>
      <c r="AQ103" t="s">
        <v>49</v>
      </c>
      <c r="AR103" t="s">
        <v>49</v>
      </c>
      <c r="AS103" t="s">
        <v>49</v>
      </c>
      <c r="AT103" t="s">
        <v>49</v>
      </c>
      <c r="AU103" s="5" t="s">
        <v>49</v>
      </c>
      <c r="AV103" t="s">
        <v>49</v>
      </c>
      <c r="AW103" t="s">
        <v>49</v>
      </c>
      <c r="AX103" t="s">
        <v>49</v>
      </c>
      <c r="AY103" t="s">
        <v>49</v>
      </c>
    </row>
    <row r="104" spans="1:51" ht="16.05" customHeight="1" x14ac:dyDescent="0.3">
      <c r="A104" s="22" t="s">
        <v>230</v>
      </c>
      <c r="B104" s="3" t="s">
        <v>223</v>
      </c>
      <c r="C104" s="15" t="s">
        <v>205</v>
      </c>
      <c r="D104" s="3" t="s">
        <v>55</v>
      </c>
      <c r="E104" s="3" t="s">
        <v>57</v>
      </c>
      <c r="F104" s="3" t="s">
        <v>121</v>
      </c>
      <c r="G104" s="5" t="s">
        <v>49</v>
      </c>
      <c r="H104" s="5" t="s">
        <v>49</v>
      </c>
      <c r="I104" s="6">
        <v>45504</v>
      </c>
      <c r="J104" s="3">
        <v>59400</v>
      </c>
      <c r="K104" s="6">
        <v>45524</v>
      </c>
      <c r="L104" s="18">
        <v>45505</v>
      </c>
      <c r="M104" s="6">
        <f t="shared" si="4"/>
        <v>45520.5</v>
      </c>
      <c r="N104" t="s">
        <v>49</v>
      </c>
      <c r="O104" s="3" t="s">
        <v>214</v>
      </c>
      <c r="P104">
        <v>0.5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s="3">
        <v>0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49</v>
      </c>
      <c r="AL104" t="s">
        <v>49</v>
      </c>
      <c r="AM104" t="s">
        <v>49</v>
      </c>
      <c r="AN104" t="s">
        <v>49</v>
      </c>
      <c r="AO104" t="s">
        <v>49</v>
      </c>
      <c r="AP104" s="3">
        <v>0</v>
      </c>
      <c r="AQ104" t="s">
        <v>49</v>
      </c>
      <c r="AR104" t="s">
        <v>49</v>
      </c>
      <c r="AS104" t="s">
        <v>49</v>
      </c>
      <c r="AT104" t="s">
        <v>49</v>
      </c>
      <c r="AU104" s="5" t="s">
        <v>49</v>
      </c>
      <c r="AV104" t="s">
        <v>49</v>
      </c>
      <c r="AW104" t="s">
        <v>49</v>
      </c>
      <c r="AX104" t="s">
        <v>49</v>
      </c>
      <c r="AY104" t="s">
        <v>49</v>
      </c>
    </row>
    <row r="105" spans="1:51" ht="16.05" customHeight="1" x14ac:dyDescent="0.3">
      <c r="A105" s="22" t="s">
        <v>231</v>
      </c>
      <c r="B105" s="3" t="s">
        <v>232</v>
      </c>
      <c r="C105" s="15" t="s">
        <v>205</v>
      </c>
      <c r="D105" s="3" t="s">
        <v>55</v>
      </c>
      <c r="E105" s="3" t="s">
        <v>57</v>
      </c>
      <c r="F105" s="3" t="s">
        <v>121</v>
      </c>
      <c r="G105" s="5" t="s">
        <v>49</v>
      </c>
      <c r="H105" s="5" t="s">
        <v>49</v>
      </c>
      <c r="I105" s="6">
        <v>45537</v>
      </c>
      <c r="J105" s="3">
        <v>20000</v>
      </c>
      <c r="K105" s="6">
        <v>45560</v>
      </c>
      <c r="L105" s="18">
        <v>45536</v>
      </c>
      <c r="M105" s="6">
        <f t="shared" si="4"/>
        <v>45551</v>
      </c>
      <c r="N105" t="s">
        <v>49</v>
      </c>
      <c r="O105" s="3" t="s">
        <v>214</v>
      </c>
      <c r="P105">
        <v>0.5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s="3">
        <v>0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49</v>
      </c>
      <c r="AN105" t="s">
        <v>49</v>
      </c>
      <c r="AO105" t="s">
        <v>49</v>
      </c>
      <c r="AP105" s="3">
        <v>0</v>
      </c>
      <c r="AQ105" t="s">
        <v>49</v>
      </c>
      <c r="AR105" t="s">
        <v>49</v>
      </c>
      <c r="AS105" t="s">
        <v>49</v>
      </c>
      <c r="AT105" t="s">
        <v>49</v>
      </c>
      <c r="AU105" s="5" t="s">
        <v>49</v>
      </c>
      <c r="AV105" t="s">
        <v>49</v>
      </c>
      <c r="AW105" t="s">
        <v>49</v>
      </c>
      <c r="AX105" t="s">
        <v>49</v>
      </c>
      <c r="AY105" t="s">
        <v>49</v>
      </c>
    </row>
    <row r="106" spans="1:51" ht="16.05" customHeight="1" x14ac:dyDescent="0.3">
      <c r="A106" s="22" t="s">
        <v>233</v>
      </c>
      <c r="B106" s="3" t="s">
        <v>223</v>
      </c>
      <c r="C106" s="15" t="s">
        <v>205</v>
      </c>
      <c r="D106" s="3" t="s">
        <v>55</v>
      </c>
      <c r="E106" s="3" t="s">
        <v>57</v>
      </c>
      <c r="F106" s="3" t="s">
        <v>121</v>
      </c>
      <c r="G106" s="5" t="s">
        <v>49</v>
      </c>
      <c r="H106" s="5" t="s">
        <v>49</v>
      </c>
      <c r="I106" s="6">
        <v>45608</v>
      </c>
      <c r="J106" s="3">
        <v>25080</v>
      </c>
      <c r="K106" s="6">
        <v>45608</v>
      </c>
      <c r="L106" s="18">
        <v>45597</v>
      </c>
      <c r="M106" s="6">
        <f t="shared" si="4"/>
        <v>45612</v>
      </c>
      <c r="N106" t="s">
        <v>49</v>
      </c>
      <c r="O106" s="3" t="s">
        <v>214</v>
      </c>
      <c r="P106">
        <v>0.5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s="3">
        <v>0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49</v>
      </c>
      <c r="AN106" t="s">
        <v>49</v>
      </c>
      <c r="AO106" t="s">
        <v>49</v>
      </c>
      <c r="AP106" s="3">
        <v>0</v>
      </c>
      <c r="AQ106" t="s">
        <v>49</v>
      </c>
      <c r="AR106" t="s">
        <v>49</v>
      </c>
      <c r="AS106" t="s">
        <v>49</v>
      </c>
      <c r="AT106" t="s">
        <v>49</v>
      </c>
      <c r="AU106" s="5" t="s">
        <v>49</v>
      </c>
      <c r="AV106" t="s">
        <v>49</v>
      </c>
      <c r="AW106" t="s">
        <v>49</v>
      </c>
      <c r="AX106" t="s">
        <v>49</v>
      </c>
      <c r="AY106" t="s">
        <v>49</v>
      </c>
    </row>
    <row r="107" spans="1:51" ht="16.05" customHeight="1" x14ac:dyDescent="0.3">
      <c r="A107" s="22" t="s">
        <v>234</v>
      </c>
      <c r="B107" s="3" t="s">
        <v>171</v>
      </c>
      <c r="C107" s="15" t="s">
        <v>205</v>
      </c>
      <c r="D107" s="3" t="s">
        <v>55</v>
      </c>
      <c r="E107" s="3" t="s">
        <v>57</v>
      </c>
      <c r="F107" s="3" t="s">
        <v>121</v>
      </c>
      <c r="G107" s="5" t="s">
        <v>49</v>
      </c>
      <c r="H107" s="5" t="s">
        <v>49</v>
      </c>
      <c r="I107" s="6">
        <v>45593</v>
      </c>
      <c r="J107" s="3">
        <v>20000</v>
      </c>
      <c r="K107" s="6">
        <v>45622</v>
      </c>
      <c r="L107" s="18">
        <v>45597</v>
      </c>
      <c r="M107" s="6">
        <f t="shared" si="4"/>
        <v>45612</v>
      </c>
      <c r="N107" t="s">
        <v>49</v>
      </c>
      <c r="O107" s="3" t="s">
        <v>214</v>
      </c>
      <c r="P107">
        <v>0.5</v>
      </c>
      <c r="Q107" s="3">
        <v>6000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s="3">
        <v>6000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 t="s">
        <v>49</v>
      </c>
      <c r="AN107" t="s">
        <v>49</v>
      </c>
      <c r="AO107" t="s">
        <v>49</v>
      </c>
      <c r="AP107" s="3">
        <v>0</v>
      </c>
      <c r="AQ107" t="s">
        <v>49</v>
      </c>
      <c r="AR107" t="s">
        <v>49</v>
      </c>
      <c r="AS107" t="s">
        <v>49</v>
      </c>
      <c r="AT107" t="s">
        <v>49</v>
      </c>
      <c r="AU107" s="5" t="s">
        <v>49</v>
      </c>
      <c r="AV107" t="s">
        <v>49</v>
      </c>
      <c r="AW107" t="s">
        <v>49</v>
      </c>
      <c r="AX107" t="s">
        <v>49</v>
      </c>
      <c r="AY107" t="s">
        <v>49</v>
      </c>
    </row>
    <row r="108" spans="1:51" ht="16.05" customHeight="1" x14ac:dyDescent="0.3">
      <c r="A108" s="22" t="s">
        <v>235</v>
      </c>
      <c r="B108" s="3" t="s">
        <v>232</v>
      </c>
      <c r="C108" s="15" t="s">
        <v>205</v>
      </c>
      <c r="D108" s="3" t="s">
        <v>55</v>
      </c>
      <c r="E108" s="3" t="s">
        <v>57</v>
      </c>
      <c r="F108" s="3" t="s">
        <v>121</v>
      </c>
      <c r="G108" s="5" t="s">
        <v>49</v>
      </c>
      <c r="H108" s="5" t="s">
        <v>49</v>
      </c>
      <c r="I108" s="6">
        <v>45593</v>
      </c>
      <c r="J108" s="3">
        <v>16000</v>
      </c>
      <c r="K108" s="6">
        <v>45631</v>
      </c>
      <c r="L108" s="18">
        <v>45627</v>
      </c>
      <c r="M108" s="6">
        <f t="shared" si="4"/>
        <v>45642.5</v>
      </c>
      <c r="N108" t="s">
        <v>49</v>
      </c>
      <c r="O108" s="3" t="s">
        <v>214</v>
      </c>
      <c r="P108">
        <v>0.5</v>
      </c>
      <c r="Q108" s="3">
        <v>8000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s="3">
        <v>8000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 t="s">
        <v>49</v>
      </c>
      <c r="AN108" t="s">
        <v>49</v>
      </c>
      <c r="AO108" t="s">
        <v>49</v>
      </c>
      <c r="AP108" s="3">
        <v>0</v>
      </c>
      <c r="AQ108" t="s">
        <v>49</v>
      </c>
      <c r="AR108" t="s">
        <v>49</v>
      </c>
      <c r="AS108" t="s">
        <v>49</v>
      </c>
      <c r="AT108" t="s">
        <v>49</v>
      </c>
      <c r="AU108" s="5" t="s">
        <v>49</v>
      </c>
      <c r="AV108" t="s">
        <v>49</v>
      </c>
      <c r="AW108" t="s">
        <v>49</v>
      </c>
      <c r="AX108" t="s">
        <v>49</v>
      </c>
      <c r="AY108" t="s">
        <v>49</v>
      </c>
    </row>
    <row r="109" spans="1:51" ht="16.05" customHeight="1" x14ac:dyDescent="0.3">
      <c r="A109" s="22" t="s">
        <v>236</v>
      </c>
      <c r="B109" s="3" t="s">
        <v>171</v>
      </c>
      <c r="C109" s="15" t="s">
        <v>205</v>
      </c>
      <c r="D109" s="3" t="s">
        <v>55</v>
      </c>
      <c r="E109" s="3" t="s">
        <v>57</v>
      </c>
      <c r="F109" s="3" t="s">
        <v>121</v>
      </c>
      <c r="G109" s="5" t="s">
        <v>49</v>
      </c>
      <c r="H109" s="5" t="s">
        <v>49</v>
      </c>
      <c r="I109" s="6">
        <v>45418</v>
      </c>
      <c r="J109" s="3">
        <v>208800</v>
      </c>
      <c r="K109" s="6">
        <v>45635</v>
      </c>
      <c r="L109" s="18">
        <v>45627</v>
      </c>
      <c r="M109" s="6">
        <f t="shared" si="4"/>
        <v>45642.5</v>
      </c>
      <c r="N109" t="s">
        <v>49</v>
      </c>
      <c r="O109" s="3" t="s">
        <v>214</v>
      </c>
      <c r="P109">
        <v>0.5</v>
      </c>
      <c r="Q109" s="3">
        <v>49920</v>
      </c>
      <c r="R109" s="3">
        <v>31400</v>
      </c>
      <c r="S109" s="3">
        <v>52400</v>
      </c>
      <c r="T109" s="3">
        <v>14600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s="3">
        <v>148320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  <c r="AK109" t="s">
        <v>49</v>
      </c>
      <c r="AL109" t="s">
        <v>49</v>
      </c>
      <c r="AM109" t="s">
        <v>49</v>
      </c>
      <c r="AN109" t="s">
        <v>49</v>
      </c>
      <c r="AO109" t="s">
        <v>49</v>
      </c>
      <c r="AP109" s="3">
        <v>0</v>
      </c>
      <c r="AQ109" t="s">
        <v>49</v>
      </c>
      <c r="AR109" t="s">
        <v>49</v>
      </c>
      <c r="AS109" t="s">
        <v>49</v>
      </c>
      <c r="AT109" t="s">
        <v>49</v>
      </c>
      <c r="AU109" s="5" t="s">
        <v>49</v>
      </c>
      <c r="AV109" t="s">
        <v>49</v>
      </c>
      <c r="AW109" t="s">
        <v>49</v>
      </c>
      <c r="AX109" t="s">
        <v>49</v>
      </c>
      <c r="AY109" t="s">
        <v>49</v>
      </c>
    </row>
    <row r="110" spans="1:51" ht="16.05" customHeight="1" x14ac:dyDescent="0.3">
      <c r="A110" s="22" t="s">
        <v>237</v>
      </c>
      <c r="B110" s="3" t="s">
        <v>223</v>
      </c>
      <c r="C110" s="15" t="s">
        <v>205</v>
      </c>
      <c r="D110" s="3" t="s">
        <v>55</v>
      </c>
      <c r="E110" s="3" t="s">
        <v>57</v>
      </c>
      <c r="F110" s="3" t="s">
        <v>121</v>
      </c>
      <c r="G110" s="5" t="s">
        <v>49</v>
      </c>
      <c r="H110" s="5" t="s">
        <v>49</v>
      </c>
      <c r="I110" s="6">
        <v>45418</v>
      </c>
      <c r="J110" s="3">
        <v>275200</v>
      </c>
      <c r="K110" s="6">
        <v>45635</v>
      </c>
      <c r="L110" s="18">
        <v>45627</v>
      </c>
      <c r="M110" s="6">
        <f t="shared" si="4"/>
        <v>45642.5</v>
      </c>
      <c r="N110" t="s">
        <v>49</v>
      </c>
      <c r="O110" s="3" t="s">
        <v>214</v>
      </c>
      <c r="P110">
        <v>0.5</v>
      </c>
      <c r="Q110" s="3">
        <v>88750</v>
      </c>
      <c r="R110" s="3">
        <v>56960</v>
      </c>
      <c r="S110" s="3">
        <v>58400</v>
      </c>
      <c r="T110" s="3">
        <v>24600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  <c r="Z110" t="s">
        <v>49</v>
      </c>
      <c r="AA110" t="s">
        <v>49</v>
      </c>
      <c r="AB110" t="s">
        <v>49</v>
      </c>
      <c r="AC110" s="3">
        <v>228710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49</v>
      </c>
      <c r="AM110" t="s">
        <v>49</v>
      </c>
      <c r="AN110" t="s">
        <v>49</v>
      </c>
      <c r="AO110" t="s">
        <v>49</v>
      </c>
      <c r="AP110" s="3">
        <v>0</v>
      </c>
      <c r="AQ110" s="3" t="s">
        <v>237</v>
      </c>
      <c r="AR110" t="s">
        <v>49</v>
      </c>
      <c r="AS110" t="s">
        <v>49</v>
      </c>
      <c r="AT110" t="s">
        <v>49</v>
      </c>
      <c r="AU110" s="5" t="s">
        <v>49</v>
      </c>
      <c r="AV110" t="s">
        <v>49</v>
      </c>
      <c r="AW110" t="s">
        <v>49</v>
      </c>
      <c r="AX110" t="s">
        <v>49</v>
      </c>
      <c r="AY110" t="s">
        <v>49</v>
      </c>
    </row>
    <row r="111" spans="1:51" ht="16.05" customHeight="1" x14ac:dyDescent="0.3">
      <c r="A111" s="22" t="s">
        <v>238</v>
      </c>
      <c r="B111" s="3" t="s">
        <v>171</v>
      </c>
      <c r="C111" s="15" t="s">
        <v>205</v>
      </c>
      <c r="D111" s="3" t="s">
        <v>55</v>
      </c>
      <c r="E111" s="3" t="s">
        <v>57</v>
      </c>
      <c r="F111" s="3" t="s">
        <v>121</v>
      </c>
      <c r="G111" s="5" t="s">
        <v>49</v>
      </c>
      <c r="H111" s="5" t="s">
        <v>49</v>
      </c>
      <c r="I111" s="6">
        <v>45372</v>
      </c>
      <c r="J111" s="3">
        <v>247500</v>
      </c>
      <c r="K111" s="6">
        <v>45742</v>
      </c>
      <c r="L111" s="18">
        <v>45717</v>
      </c>
      <c r="M111" s="6">
        <f t="shared" si="4"/>
        <v>45732.5</v>
      </c>
      <c r="N111" t="s">
        <v>49</v>
      </c>
      <c r="O111" s="3" t="s">
        <v>239</v>
      </c>
      <c r="P111">
        <v>0.5</v>
      </c>
      <c r="Q111" s="3">
        <v>58500</v>
      </c>
      <c r="R111" s="3">
        <v>36000</v>
      </c>
      <c r="S111" s="3">
        <v>36000</v>
      </c>
      <c r="T111" s="3">
        <v>45000</v>
      </c>
      <c r="U111" s="3">
        <v>20000</v>
      </c>
      <c r="V111" s="3">
        <v>35000</v>
      </c>
      <c r="W111" s="3">
        <v>17000</v>
      </c>
      <c r="X111" t="s">
        <v>49</v>
      </c>
      <c r="Y111" t="s">
        <v>49</v>
      </c>
      <c r="Z111" t="s">
        <v>49</v>
      </c>
      <c r="AA111" t="s">
        <v>49</v>
      </c>
      <c r="AB111" t="s">
        <v>49</v>
      </c>
      <c r="AC111" s="3">
        <v>247500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49</v>
      </c>
      <c r="AL111" t="s">
        <v>49</v>
      </c>
      <c r="AM111" t="s">
        <v>49</v>
      </c>
      <c r="AN111" t="s">
        <v>49</v>
      </c>
      <c r="AO111" t="s">
        <v>49</v>
      </c>
      <c r="AP111" s="3">
        <v>0</v>
      </c>
      <c r="AQ111" s="3" t="s">
        <v>240</v>
      </c>
      <c r="AR111" t="s">
        <v>49</v>
      </c>
      <c r="AS111" t="s">
        <v>49</v>
      </c>
      <c r="AT111" t="s">
        <v>49</v>
      </c>
      <c r="AU111" s="5" t="s">
        <v>49</v>
      </c>
      <c r="AV111" t="s">
        <v>49</v>
      </c>
      <c r="AW111" t="s">
        <v>49</v>
      </c>
      <c r="AX111" t="s">
        <v>49</v>
      </c>
      <c r="AY111" t="s">
        <v>49</v>
      </c>
    </row>
    <row r="112" spans="1:51" ht="16.05" customHeight="1" x14ac:dyDescent="0.3">
      <c r="A112" s="22" t="s">
        <v>241</v>
      </c>
      <c r="B112" s="3" t="s">
        <v>171</v>
      </c>
      <c r="C112" s="15" t="s">
        <v>205</v>
      </c>
      <c r="D112" s="3" t="s">
        <v>55</v>
      </c>
      <c r="E112" s="3" t="s">
        <v>57</v>
      </c>
      <c r="F112" s="3" t="s">
        <v>121</v>
      </c>
      <c r="G112" s="5" t="s">
        <v>49</v>
      </c>
      <c r="H112" s="5" t="s">
        <v>49</v>
      </c>
      <c r="I112" s="6">
        <v>45754</v>
      </c>
      <c r="J112" s="3">
        <v>9000</v>
      </c>
      <c r="K112" s="6">
        <v>45765</v>
      </c>
      <c r="L112" s="18">
        <v>45748</v>
      </c>
      <c r="M112" s="6">
        <f t="shared" si="4"/>
        <v>45763</v>
      </c>
      <c r="N112" s="3" t="s">
        <v>49</v>
      </c>
      <c r="O112" s="3" t="s">
        <v>239</v>
      </c>
      <c r="P112">
        <v>0.5</v>
      </c>
      <c r="Q112" t="s">
        <v>49</v>
      </c>
      <c r="R112" t="s">
        <v>49</v>
      </c>
      <c r="S112" t="s">
        <v>49</v>
      </c>
      <c r="T112" s="3">
        <v>9000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  <c r="Z112" t="s">
        <v>49</v>
      </c>
      <c r="AA112" t="s">
        <v>49</v>
      </c>
      <c r="AB112" t="s">
        <v>49</v>
      </c>
      <c r="AC112" s="3">
        <v>9000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  <c r="AK112" t="s">
        <v>49</v>
      </c>
      <c r="AL112" t="s">
        <v>49</v>
      </c>
      <c r="AM112" t="s">
        <v>49</v>
      </c>
      <c r="AN112" t="s">
        <v>49</v>
      </c>
      <c r="AO112" t="s">
        <v>49</v>
      </c>
      <c r="AP112" s="3">
        <v>0</v>
      </c>
      <c r="AQ112" t="s">
        <v>49</v>
      </c>
      <c r="AR112" t="s">
        <v>49</v>
      </c>
      <c r="AS112" t="s">
        <v>49</v>
      </c>
      <c r="AT112" t="s">
        <v>49</v>
      </c>
      <c r="AU112" s="5" t="s">
        <v>49</v>
      </c>
      <c r="AV112" t="s">
        <v>49</v>
      </c>
      <c r="AW112" t="s">
        <v>49</v>
      </c>
      <c r="AX112" t="s">
        <v>49</v>
      </c>
      <c r="AY112" t="s">
        <v>49</v>
      </c>
    </row>
    <row r="113" spans="1:51" ht="16.05" customHeight="1" x14ac:dyDescent="0.3">
      <c r="A113" s="22" t="s">
        <v>242</v>
      </c>
      <c r="B113" s="3" t="s">
        <v>243</v>
      </c>
      <c r="C113" s="15" t="s">
        <v>205</v>
      </c>
      <c r="D113" s="3" t="s">
        <v>101</v>
      </c>
      <c r="E113" s="3" t="s">
        <v>103</v>
      </c>
      <c r="F113" s="3" t="s">
        <v>102</v>
      </c>
      <c r="G113" s="5" t="s">
        <v>49</v>
      </c>
      <c r="H113" s="5" t="s">
        <v>49</v>
      </c>
      <c r="I113" s="6">
        <v>45141</v>
      </c>
      <c r="J113" s="3">
        <v>75240</v>
      </c>
      <c r="K113" s="6">
        <v>45175</v>
      </c>
      <c r="L113" s="18">
        <v>45170</v>
      </c>
      <c r="M113" s="6">
        <f t="shared" si="4"/>
        <v>45185</v>
      </c>
      <c r="N113" t="s">
        <v>49</v>
      </c>
      <c r="O113" s="3" t="s">
        <v>208</v>
      </c>
      <c r="P113">
        <v>0.5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s="3">
        <v>0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49</v>
      </c>
      <c r="AL113" t="s">
        <v>49</v>
      </c>
      <c r="AM113" t="s">
        <v>49</v>
      </c>
      <c r="AN113" t="s">
        <v>49</v>
      </c>
      <c r="AO113" t="s">
        <v>49</v>
      </c>
      <c r="AP113" s="3">
        <v>0</v>
      </c>
      <c r="AQ113" t="s">
        <v>49</v>
      </c>
      <c r="AR113" t="s">
        <v>49</v>
      </c>
      <c r="AS113" t="s">
        <v>49</v>
      </c>
      <c r="AT113" t="s">
        <v>49</v>
      </c>
      <c r="AU113" s="5" t="s">
        <v>49</v>
      </c>
      <c r="AV113" t="s">
        <v>49</v>
      </c>
      <c r="AW113" t="s">
        <v>49</v>
      </c>
      <c r="AX113" t="s">
        <v>49</v>
      </c>
      <c r="AY113" t="s">
        <v>49</v>
      </c>
    </row>
    <row r="114" spans="1:51" ht="16.05" customHeight="1" x14ac:dyDescent="0.3">
      <c r="A114" s="22" t="s">
        <v>244</v>
      </c>
      <c r="B114" s="3" t="s">
        <v>100</v>
      </c>
      <c r="C114" s="15" t="s">
        <v>205</v>
      </c>
      <c r="D114" s="3" t="s">
        <v>101</v>
      </c>
      <c r="E114" s="3" t="s">
        <v>103</v>
      </c>
      <c r="F114" s="3" t="s">
        <v>94</v>
      </c>
      <c r="G114" s="5" t="s">
        <v>49</v>
      </c>
      <c r="H114" s="5" t="s">
        <v>49</v>
      </c>
      <c r="I114" s="6">
        <v>45163</v>
      </c>
      <c r="J114" s="3">
        <v>100000</v>
      </c>
      <c r="K114" s="6">
        <v>45331</v>
      </c>
      <c r="L114" s="18">
        <v>45323</v>
      </c>
      <c r="M114" s="6">
        <f t="shared" si="4"/>
        <v>45337.5</v>
      </c>
      <c r="N114" t="s">
        <v>49</v>
      </c>
      <c r="O114" s="3" t="s">
        <v>208</v>
      </c>
      <c r="P114">
        <v>0.5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49</v>
      </c>
      <c r="AA114" t="s">
        <v>49</v>
      </c>
      <c r="AB114" t="s">
        <v>49</v>
      </c>
      <c r="AC114" s="3">
        <v>0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49</v>
      </c>
      <c r="AL114" t="s">
        <v>49</v>
      </c>
      <c r="AM114" t="s">
        <v>49</v>
      </c>
      <c r="AN114" t="s">
        <v>49</v>
      </c>
      <c r="AO114" t="s">
        <v>49</v>
      </c>
      <c r="AP114" s="3">
        <v>0</v>
      </c>
      <c r="AQ114" s="3" t="s">
        <v>245</v>
      </c>
      <c r="AR114" t="s">
        <v>49</v>
      </c>
      <c r="AS114" t="s">
        <v>49</v>
      </c>
      <c r="AT114" t="s">
        <v>49</v>
      </c>
      <c r="AU114" s="5" t="s">
        <v>49</v>
      </c>
      <c r="AV114" t="s">
        <v>49</v>
      </c>
      <c r="AW114" t="s">
        <v>49</v>
      </c>
      <c r="AX114" t="s">
        <v>49</v>
      </c>
      <c r="AY114" t="s">
        <v>49</v>
      </c>
    </row>
    <row r="115" spans="1:51" ht="16.05" customHeight="1" x14ac:dyDescent="0.3">
      <c r="A115" s="22" t="s">
        <v>246</v>
      </c>
      <c r="B115" s="3" t="s">
        <v>247</v>
      </c>
      <c r="C115" s="15" t="s">
        <v>205</v>
      </c>
      <c r="D115" s="3" t="s">
        <v>101</v>
      </c>
      <c r="E115" s="3" t="s">
        <v>248</v>
      </c>
      <c r="F115" s="3" t="s">
        <v>121</v>
      </c>
      <c r="G115" s="5" t="s">
        <v>49</v>
      </c>
      <c r="H115" s="5" t="s">
        <v>49</v>
      </c>
      <c r="I115" s="6">
        <v>45194</v>
      </c>
      <c r="J115" s="3">
        <v>55800</v>
      </c>
      <c r="K115" s="6">
        <v>45274</v>
      </c>
      <c r="L115" s="18">
        <v>45261</v>
      </c>
      <c r="M115" s="6">
        <f t="shared" si="4"/>
        <v>45276.5</v>
      </c>
      <c r="N115" t="s">
        <v>49</v>
      </c>
      <c r="O115" s="3" t="s">
        <v>208</v>
      </c>
      <c r="P115">
        <v>0.5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49</v>
      </c>
      <c r="Z115" t="s">
        <v>49</v>
      </c>
      <c r="AA115" t="s">
        <v>49</v>
      </c>
      <c r="AB115" t="s">
        <v>49</v>
      </c>
      <c r="AC115" s="3">
        <v>0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  <c r="AN115" t="s">
        <v>49</v>
      </c>
      <c r="AO115" t="s">
        <v>49</v>
      </c>
      <c r="AP115" s="3">
        <v>0</v>
      </c>
      <c r="AQ115" t="s">
        <v>49</v>
      </c>
      <c r="AR115" t="s">
        <v>49</v>
      </c>
      <c r="AS115" t="s">
        <v>49</v>
      </c>
      <c r="AT115" t="s">
        <v>49</v>
      </c>
      <c r="AU115" s="5" t="s">
        <v>49</v>
      </c>
      <c r="AV115" t="s">
        <v>49</v>
      </c>
      <c r="AW115" t="s">
        <v>49</v>
      </c>
      <c r="AX115" t="s">
        <v>49</v>
      </c>
      <c r="AY115" t="s">
        <v>49</v>
      </c>
    </row>
    <row r="116" spans="1:51" ht="16.05" customHeight="1" x14ac:dyDescent="0.3">
      <c r="A116" s="22" t="s">
        <v>249</v>
      </c>
      <c r="B116" s="3" t="s">
        <v>140</v>
      </c>
      <c r="C116" s="15" t="s">
        <v>205</v>
      </c>
      <c r="D116" s="3" t="s">
        <v>101</v>
      </c>
      <c r="E116" s="3" t="s">
        <v>103</v>
      </c>
      <c r="F116" s="3" t="s">
        <v>250</v>
      </c>
      <c r="G116" s="5" t="s">
        <v>49</v>
      </c>
      <c r="H116" s="5" t="s">
        <v>49</v>
      </c>
      <c r="I116" s="6">
        <v>45243</v>
      </c>
      <c r="J116" s="3">
        <v>91800</v>
      </c>
      <c r="K116" s="6">
        <v>45376</v>
      </c>
      <c r="L116" s="18">
        <v>45352</v>
      </c>
      <c r="M116" s="6">
        <f t="shared" si="4"/>
        <v>45367.5</v>
      </c>
      <c r="N116" t="s">
        <v>49</v>
      </c>
      <c r="O116" s="3" t="s">
        <v>214</v>
      </c>
      <c r="P116">
        <v>0.5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  <c r="Z116" t="s">
        <v>49</v>
      </c>
      <c r="AA116" t="s">
        <v>49</v>
      </c>
      <c r="AB116" t="s">
        <v>49</v>
      </c>
      <c r="AC116" s="3">
        <v>0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49</v>
      </c>
      <c r="AL116" t="s">
        <v>49</v>
      </c>
      <c r="AM116" t="s">
        <v>49</v>
      </c>
      <c r="AN116" t="s">
        <v>49</v>
      </c>
      <c r="AO116" t="s">
        <v>49</v>
      </c>
      <c r="AP116" s="3">
        <v>0</v>
      </c>
      <c r="AQ116" t="s">
        <v>49</v>
      </c>
      <c r="AR116" t="s">
        <v>49</v>
      </c>
      <c r="AS116" t="s">
        <v>49</v>
      </c>
      <c r="AT116" t="s">
        <v>49</v>
      </c>
      <c r="AU116" s="5" t="s">
        <v>49</v>
      </c>
      <c r="AV116" t="s">
        <v>49</v>
      </c>
      <c r="AW116" t="s">
        <v>49</v>
      </c>
      <c r="AX116" t="s">
        <v>49</v>
      </c>
      <c r="AY116" t="s">
        <v>49</v>
      </c>
    </row>
    <row r="117" spans="1:51" ht="16.05" customHeight="1" x14ac:dyDescent="0.3">
      <c r="A117" s="22" t="s">
        <v>251</v>
      </c>
      <c r="B117" s="3" t="s">
        <v>100</v>
      </c>
      <c r="C117" s="15" t="s">
        <v>205</v>
      </c>
      <c r="D117" s="3" t="s">
        <v>101</v>
      </c>
      <c r="E117" s="3" t="s">
        <v>103</v>
      </c>
      <c r="F117" s="3" t="s">
        <v>102</v>
      </c>
      <c r="G117" s="5" t="s">
        <v>49</v>
      </c>
      <c r="H117" s="5" t="s">
        <v>49</v>
      </c>
      <c r="I117" s="6">
        <v>45352</v>
      </c>
      <c r="J117" s="3">
        <v>140000</v>
      </c>
      <c r="K117" s="6">
        <v>45449</v>
      </c>
      <c r="L117" s="18">
        <v>45444</v>
      </c>
      <c r="M117" s="6">
        <f t="shared" si="4"/>
        <v>45459</v>
      </c>
      <c r="N117" t="s">
        <v>49</v>
      </c>
      <c r="O117" s="3" t="s">
        <v>214</v>
      </c>
      <c r="P117">
        <v>0.5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s="3">
        <v>0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49</v>
      </c>
      <c r="AL117" t="s">
        <v>49</v>
      </c>
      <c r="AM117" t="s">
        <v>49</v>
      </c>
      <c r="AN117" t="s">
        <v>49</v>
      </c>
      <c r="AO117" t="s">
        <v>49</v>
      </c>
      <c r="AP117" s="3">
        <v>0</v>
      </c>
      <c r="AQ117" s="3" t="s">
        <v>245</v>
      </c>
      <c r="AR117" t="s">
        <v>49</v>
      </c>
      <c r="AS117" t="s">
        <v>49</v>
      </c>
      <c r="AT117" t="s">
        <v>49</v>
      </c>
      <c r="AU117" s="5" t="s">
        <v>49</v>
      </c>
      <c r="AV117" t="s">
        <v>49</v>
      </c>
      <c r="AW117" t="s">
        <v>49</v>
      </c>
      <c r="AX117" t="s">
        <v>49</v>
      </c>
      <c r="AY117" t="s">
        <v>49</v>
      </c>
    </row>
    <row r="118" spans="1:51" ht="16.05" customHeight="1" x14ac:dyDescent="0.3">
      <c r="A118" s="22" t="s">
        <v>252</v>
      </c>
      <c r="B118" s="3" t="s">
        <v>100</v>
      </c>
      <c r="C118" s="15" t="s">
        <v>205</v>
      </c>
      <c r="D118" s="3" t="s">
        <v>101</v>
      </c>
      <c r="E118" s="3" t="s">
        <v>103</v>
      </c>
      <c r="F118" s="3" t="s">
        <v>102</v>
      </c>
      <c r="G118" s="5" t="s">
        <v>49</v>
      </c>
      <c r="H118" s="5" t="s">
        <v>49</v>
      </c>
      <c r="I118" s="6">
        <v>45414</v>
      </c>
      <c r="J118" s="3">
        <v>140000</v>
      </c>
      <c r="K118" s="6">
        <v>45421</v>
      </c>
      <c r="L118" s="18">
        <v>45413</v>
      </c>
      <c r="M118" s="6">
        <f t="shared" si="4"/>
        <v>45428.5</v>
      </c>
      <c r="N118" t="s">
        <v>49</v>
      </c>
      <c r="O118" s="3" t="s">
        <v>214</v>
      </c>
      <c r="P118">
        <v>0.5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  <c r="Z118" t="s">
        <v>49</v>
      </c>
      <c r="AA118" t="s">
        <v>49</v>
      </c>
      <c r="AB118" t="s">
        <v>49</v>
      </c>
      <c r="AC118" s="3">
        <v>0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  <c r="AK118" t="s">
        <v>49</v>
      </c>
      <c r="AL118" t="s">
        <v>49</v>
      </c>
      <c r="AM118" t="s">
        <v>49</v>
      </c>
      <c r="AN118" t="s">
        <v>49</v>
      </c>
      <c r="AO118" t="s">
        <v>49</v>
      </c>
      <c r="AP118" s="3">
        <v>0</v>
      </c>
      <c r="AQ118" s="3" t="s">
        <v>245</v>
      </c>
      <c r="AR118" t="s">
        <v>49</v>
      </c>
      <c r="AS118" t="s">
        <v>49</v>
      </c>
      <c r="AT118" t="s">
        <v>49</v>
      </c>
      <c r="AU118" s="5" t="s">
        <v>49</v>
      </c>
      <c r="AV118" t="s">
        <v>49</v>
      </c>
      <c r="AW118" t="s">
        <v>49</v>
      </c>
      <c r="AX118" t="s">
        <v>49</v>
      </c>
      <c r="AY118" t="s">
        <v>49</v>
      </c>
    </row>
    <row r="119" spans="1:51" ht="16.05" customHeight="1" x14ac:dyDescent="0.3">
      <c r="A119" s="22" t="s">
        <v>253</v>
      </c>
      <c r="B119" s="3" t="s">
        <v>140</v>
      </c>
      <c r="C119" s="15" t="s">
        <v>205</v>
      </c>
      <c r="D119" s="3" t="s">
        <v>101</v>
      </c>
      <c r="E119" s="3" t="s">
        <v>103</v>
      </c>
      <c r="F119" s="3" t="s">
        <v>94</v>
      </c>
      <c r="G119" s="5" t="s">
        <v>49</v>
      </c>
      <c r="H119" s="5" t="s">
        <v>49</v>
      </c>
      <c r="I119" s="6">
        <v>45471</v>
      </c>
      <c r="J119" s="3">
        <v>18000</v>
      </c>
      <c r="K119" s="6">
        <v>45503</v>
      </c>
      <c r="L119" s="18">
        <v>45474</v>
      </c>
      <c r="M119" s="6">
        <f t="shared" si="4"/>
        <v>45489.5</v>
      </c>
      <c r="N119" t="s">
        <v>49</v>
      </c>
      <c r="O119" s="3" t="s">
        <v>214</v>
      </c>
      <c r="P119">
        <v>0.5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49</v>
      </c>
      <c r="AC119" s="3">
        <v>0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49</v>
      </c>
      <c r="AL119" t="s">
        <v>49</v>
      </c>
      <c r="AM119" t="s">
        <v>49</v>
      </c>
      <c r="AN119" t="s">
        <v>49</v>
      </c>
      <c r="AO119" t="s">
        <v>49</v>
      </c>
      <c r="AP119" s="3">
        <v>0</v>
      </c>
      <c r="AQ119" t="s">
        <v>49</v>
      </c>
      <c r="AR119" t="s">
        <v>49</v>
      </c>
      <c r="AS119" t="s">
        <v>49</v>
      </c>
      <c r="AT119" t="s">
        <v>49</v>
      </c>
      <c r="AU119" s="5" t="s">
        <v>49</v>
      </c>
      <c r="AV119" t="s">
        <v>49</v>
      </c>
      <c r="AW119" t="s">
        <v>49</v>
      </c>
      <c r="AX119" t="s">
        <v>49</v>
      </c>
      <c r="AY119" t="s">
        <v>49</v>
      </c>
    </row>
    <row r="120" spans="1:51" ht="16.05" customHeight="1" x14ac:dyDescent="0.3">
      <c r="A120" s="22" t="s">
        <v>254</v>
      </c>
      <c r="B120" s="3" t="s">
        <v>100</v>
      </c>
      <c r="C120" s="15" t="s">
        <v>205</v>
      </c>
      <c r="D120" s="3" t="s">
        <v>101</v>
      </c>
      <c r="E120" s="3" t="s">
        <v>103</v>
      </c>
      <c r="F120" s="3" t="s">
        <v>102</v>
      </c>
      <c r="G120" s="5" t="s">
        <v>49</v>
      </c>
      <c r="H120" s="5" t="s">
        <v>49</v>
      </c>
      <c r="I120" s="6">
        <v>45506</v>
      </c>
      <c r="J120" s="3">
        <v>130000</v>
      </c>
      <c r="K120" s="6">
        <v>45539</v>
      </c>
      <c r="L120" s="18">
        <v>45536</v>
      </c>
      <c r="M120" s="6">
        <f t="shared" si="4"/>
        <v>45551</v>
      </c>
      <c r="N120" t="s">
        <v>49</v>
      </c>
      <c r="O120" s="3" t="s">
        <v>239</v>
      </c>
      <c r="P120">
        <v>0.5</v>
      </c>
      <c r="Q120" s="3">
        <v>28125</v>
      </c>
      <c r="R120" s="3">
        <v>28125</v>
      </c>
      <c r="S120" s="3">
        <v>13320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49</v>
      </c>
      <c r="AC120" s="3">
        <v>69570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49</v>
      </c>
      <c r="AM120" t="s">
        <v>49</v>
      </c>
      <c r="AN120" t="s">
        <v>49</v>
      </c>
      <c r="AO120" t="s">
        <v>49</v>
      </c>
      <c r="AP120" s="3">
        <v>0</v>
      </c>
      <c r="AQ120" s="3" t="s">
        <v>245</v>
      </c>
      <c r="AR120" t="s">
        <v>49</v>
      </c>
      <c r="AS120" t="s">
        <v>49</v>
      </c>
      <c r="AT120" t="s">
        <v>49</v>
      </c>
      <c r="AU120" s="5" t="s">
        <v>49</v>
      </c>
      <c r="AV120" t="s">
        <v>49</v>
      </c>
      <c r="AW120" t="s">
        <v>49</v>
      </c>
      <c r="AX120" t="s">
        <v>49</v>
      </c>
      <c r="AY120" t="s">
        <v>49</v>
      </c>
    </row>
    <row r="121" spans="1:51" ht="16.05" customHeight="1" x14ac:dyDescent="0.3">
      <c r="A121" s="22" t="s">
        <v>255</v>
      </c>
      <c r="B121" s="3" t="s">
        <v>140</v>
      </c>
      <c r="C121" s="15" t="s">
        <v>205</v>
      </c>
      <c r="D121" s="3" t="s">
        <v>101</v>
      </c>
      <c r="E121" s="3" t="s">
        <v>103</v>
      </c>
      <c r="F121" s="3" t="s">
        <v>94</v>
      </c>
      <c r="G121" s="5" t="s">
        <v>49</v>
      </c>
      <c r="H121" s="5" t="s">
        <v>49</v>
      </c>
      <c r="I121" s="6">
        <v>45537</v>
      </c>
      <c r="J121" s="3">
        <v>23500</v>
      </c>
      <c r="K121" s="6">
        <v>45537</v>
      </c>
      <c r="L121" s="18">
        <v>45536</v>
      </c>
      <c r="M121" s="6">
        <f t="shared" si="4"/>
        <v>45551</v>
      </c>
      <c r="N121" t="s">
        <v>49</v>
      </c>
      <c r="O121" s="3" t="s">
        <v>214</v>
      </c>
      <c r="P121">
        <v>0.5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s="3">
        <v>0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49</v>
      </c>
      <c r="AM121" t="s">
        <v>49</v>
      </c>
      <c r="AN121" t="s">
        <v>49</v>
      </c>
      <c r="AO121" t="s">
        <v>49</v>
      </c>
      <c r="AP121" s="3">
        <v>0</v>
      </c>
      <c r="AQ121" t="s">
        <v>49</v>
      </c>
      <c r="AR121" t="s">
        <v>49</v>
      </c>
      <c r="AS121" t="s">
        <v>49</v>
      </c>
      <c r="AT121" t="s">
        <v>49</v>
      </c>
      <c r="AU121" s="5" t="s">
        <v>49</v>
      </c>
      <c r="AV121" t="s">
        <v>49</v>
      </c>
      <c r="AW121" t="s">
        <v>49</v>
      </c>
      <c r="AX121" t="s">
        <v>49</v>
      </c>
      <c r="AY121" t="s">
        <v>49</v>
      </c>
    </row>
    <row r="122" spans="1:51" ht="16.05" customHeight="1" x14ac:dyDescent="0.3">
      <c r="A122" s="22" t="s">
        <v>256</v>
      </c>
      <c r="B122" s="3" t="s">
        <v>100</v>
      </c>
      <c r="C122" s="15" t="s">
        <v>205</v>
      </c>
      <c r="D122" s="3" t="s">
        <v>101</v>
      </c>
      <c r="E122" s="3" t="s">
        <v>103</v>
      </c>
      <c r="F122" s="3" t="s">
        <v>102</v>
      </c>
      <c r="G122" s="5" t="s">
        <v>49</v>
      </c>
      <c r="H122" s="5" t="s">
        <v>49</v>
      </c>
      <c r="I122" s="6">
        <v>45582</v>
      </c>
      <c r="J122" s="3">
        <v>140000</v>
      </c>
      <c r="K122" s="6">
        <v>45606</v>
      </c>
      <c r="L122" s="18">
        <v>45597</v>
      </c>
      <c r="M122" s="6">
        <f t="shared" si="4"/>
        <v>45612</v>
      </c>
      <c r="N122" t="s">
        <v>49</v>
      </c>
      <c r="O122" s="3" t="s">
        <v>239</v>
      </c>
      <c r="P122">
        <v>0.5</v>
      </c>
      <c r="Q122" s="3">
        <v>16700</v>
      </c>
      <c r="R122" s="3">
        <v>27900</v>
      </c>
      <c r="S122" s="3">
        <v>26000</v>
      </c>
      <c r="T122" s="3">
        <v>24000</v>
      </c>
      <c r="U122" s="3">
        <v>26000</v>
      </c>
      <c r="V122" t="s">
        <v>49</v>
      </c>
      <c r="W122" t="s">
        <v>49</v>
      </c>
      <c r="X122" t="s">
        <v>49</v>
      </c>
      <c r="Y122" t="s">
        <v>49</v>
      </c>
      <c r="Z122" t="s">
        <v>49</v>
      </c>
      <c r="AA122" t="s">
        <v>49</v>
      </c>
      <c r="AB122" t="s">
        <v>49</v>
      </c>
      <c r="AC122" s="3">
        <v>120600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s="3">
        <v>0</v>
      </c>
      <c r="AQ122" s="3" t="s">
        <v>245</v>
      </c>
      <c r="AR122" t="s">
        <v>49</v>
      </c>
      <c r="AS122" t="s">
        <v>49</v>
      </c>
      <c r="AT122" t="s">
        <v>49</v>
      </c>
      <c r="AU122" s="5" t="s">
        <v>49</v>
      </c>
      <c r="AV122" t="s">
        <v>49</v>
      </c>
      <c r="AW122" t="s">
        <v>49</v>
      </c>
      <c r="AX122" t="s">
        <v>49</v>
      </c>
      <c r="AY122" t="s">
        <v>49</v>
      </c>
    </row>
    <row r="123" spans="1:51" ht="16.05" customHeight="1" x14ac:dyDescent="0.3">
      <c r="A123" s="22" t="s">
        <v>257</v>
      </c>
      <c r="B123" s="3" t="s">
        <v>100</v>
      </c>
      <c r="C123" s="15" t="s">
        <v>205</v>
      </c>
      <c r="D123" s="3" t="s">
        <v>101</v>
      </c>
      <c r="E123" s="3" t="s">
        <v>103</v>
      </c>
      <c r="F123" s="3" t="s">
        <v>102</v>
      </c>
      <c r="G123" s="5" t="s">
        <v>49</v>
      </c>
      <c r="H123" s="5" t="s">
        <v>49</v>
      </c>
      <c r="I123" s="6">
        <v>45582</v>
      </c>
      <c r="J123" s="3">
        <v>140000</v>
      </c>
      <c r="K123" s="6">
        <v>45606</v>
      </c>
      <c r="L123" s="18">
        <v>45597</v>
      </c>
      <c r="M123" s="6">
        <f t="shared" si="4"/>
        <v>45612</v>
      </c>
      <c r="N123" t="s">
        <v>49</v>
      </c>
      <c r="O123" s="3" t="s">
        <v>239</v>
      </c>
      <c r="P123">
        <v>0.5</v>
      </c>
      <c r="Q123" s="3">
        <v>26250</v>
      </c>
      <c r="R123" s="3">
        <v>22100</v>
      </c>
      <c r="S123" s="3">
        <v>26000</v>
      </c>
      <c r="T123" s="3">
        <v>24000</v>
      </c>
      <c r="U123" s="3">
        <v>26000</v>
      </c>
      <c r="V123" t="s">
        <v>49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s="3">
        <v>124350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  <c r="AK123" t="s">
        <v>49</v>
      </c>
      <c r="AL123" t="s">
        <v>49</v>
      </c>
      <c r="AM123" t="s">
        <v>49</v>
      </c>
      <c r="AN123" t="s">
        <v>49</v>
      </c>
      <c r="AO123" t="s">
        <v>49</v>
      </c>
      <c r="AP123" s="3">
        <v>0</v>
      </c>
      <c r="AQ123" s="3" t="s">
        <v>245</v>
      </c>
      <c r="AR123" t="s">
        <v>49</v>
      </c>
      <c r="AS123" t="s">
        <v>49</v>
      </c>
      <c r="AT123" t="s">
        <v>49</v>
      </c>
      <c r="AU123" s="5" t="s">
        <v>49</v>
      </c>
      <c r="AV123" t="s">
        <v>49</v>
      </c>
      <c r="AW123" t="s">
        <v>49</v>
      </c>
      <c r="AX123" t="s">
        <v>49</v>
      </c>
      <c r="AY123" t="s">
        <v>49</v>
      </c>
    </row>
    <row r="124" spans="1:51" ht="16.05" customHeight="1" x14ac:dyDescent="0.3">
      <c r="A124" s="22" t="s">
        <v>258</v>
      </c>
      <c r="B124" s="3" t="s">
        <v>140</v>
      </c>
      <c r="C124" s="15" t="s">
        <v>205</v>
      </c>
      <c r="D124" s="3" t="s">
        <v>101</v>
      </c>
      <c r="E124" s="3" t="s">
        <v>103</v>
      </c>
      <c r="F124" s="3" t="s">
        <v>102</v>
      </c>
      <c r="G124" s="5" t="s">
        <v>49</v>
      </c>
      <c r="H124" s="5" t="s">
        <v>49</v>
      </c>
      <c r="I124" s="6">
        <v>45582</v>
      </c>
      <c r="J124" s="3">
        <v>276000</v>
      </c>
      <c r="K124" s="6">
        <v>45597</v>
      </c>
      <c r="L124" s="18">
        <v>45597</v>
      </c>
      <c r="M124" s="6">
        <f t="shared" si="4"/>
        <v>45612</v>
      </c>
      <c r="N124" t="s">
        <v>49</v>
      </c>
      <c r="O124" s="3" t="s">
        <v>214</v>
      </c>
      <c r="P124">
        <v>0.5</v>
      </c>
      <c r="Q124" s="3">
        <v>25450</v>
      </c>
      <c r="R124" s="3">
        <v>23000</v>
      </c>
      <c r="S124" s="3">
        <v>23000</v>
      </c>
      <c r="T124" s="3">
        <v>28750</v>
      </c>
      <c r="U124" s="3">
        <v>23000</v>
      </c>
      <c r="V124" s="3">
        <v>23000</v>
      </c>
      <c r="W124" s="3">
        <v>28750</v>
      </c>
      <c r="X124" s="3">
        <v>23000</v>
      </c>
      <c r="Y124" s="3">
        <v>23000</v>
      </c>
      <c r="Z124" s="3">
        <v>28750</v>
      </c>
      <c r="AA124" s="3">
        <v>11150</v>
      </c>
      <c r="AB124" t="s">
        <v>49</v>
      </c>
      <c r="AC124" s="3">
        <v>260850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49</v>
      </c>
      <c r="AL124" t="s">
        <v>49</v>
      </c>
      <c r="AM124" t="s">
        <v>49</v>
      </c>
      <c r="AN124" t="s">
        <v>49</v>
      </c>
      <c r="AO124" t="s">
        <v>49</v>
      </c>
      <c r="AP124" s="3">
        <v>0</v>
      </c>
      <c r="AQ124" s="3" t="s">
        <v>258</v>
      </c>
      <c r="AR124" t="s">
        <v>49</v>
      </c>
      <c r="AS124" t="s">
        <v>49</v>
      </c>
      <c r="AT124" t="s">
        <v>49</v>
      </c>
      <c r="AU124" s="5" t="s">
        <v>49</v>
      </c>
      <c r="AV124" t="s">
        <v>49</v>
      </c>
      <c r="AW124" t="s">
        <v>49</v>
      </c>
      <c r="AX124" t="s">
        <v>49</v>
      </c>
      <c r="AY124" t="s">
        <v>49</v>
      </c>
    </row>
    <row r="125" spans="1:51" ht="16.05" customHeight="1" x14ac:dyDescent="0.3">
      <c r="A125" s="22" t="s">
        <v>259</v>
      </c>
      <c r="B125" s="3" t="s">
        <v>140</v>
      </c>
      <c r="C125" s="15" t="s">
        <v>205</v>
      </c>
      <c r="D125" s="3" t="s">
        <v>101</v>
      </c>
      <c r="E125" s="3" t="s">
        <v>103</v>
      </c>
      <c r="F125" s="3" t="s">
        <v>121</v>
      </c>
      <c r="G125" s="5" t="s">
        <v>49</v>
      </c>
      <c r="H125" s="5" t="s">
        <v>49</v>
      </c>
      <c r="I125" s="6">
        <v>45622</v>
      </c>
      <c r="J125" s="3">
        <v>130000</v>
      </c>
      <c r="K125" s="6">
        <v>45622</v>
      </c>
      <c r="L125" s="18">
        <v>45597</v>
      </c>
      <c r="M125" s="6">
        <f t="shared" si="4"/>
        <v>45612</v>
      </c>
      <c r="N125" t="s">
        <v>49</v>
      </c>
      <c r="O125" s="3" t="s">
        <v>239</v>
      </c>
      <c r="P125">
        <v>0.5</v>
      </c>
      <c r="Q125" s="3">
        <v>21125</v>
      </c>
      <c r="R125" s="3">
        <v>21250</v>
      </c>
      <c r="S125" s="3">
        <v>16000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s="3">
        <v>58375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49</v>
      </c>
      <c r="AL125" t="s">
        <v>49</v>
      </c>
      <c r="AM125" t="s">
        <v>49</v>
      </c>
      <c r="AN125" t="s">
        <v>49</v>
      </c>
      <c r="AO125" t="s">
        <v>49</v>
      </c>
      <c r="AP125" s="3">
        <v>0</v>
      </c>
      <c r="AQ125" t="s">
        <v>49</v>
      </c>
      <c r="AR125" t="s">
        <v>49</v>
      </c>
      <c r="AS125" t="s">
        <v>49</v>
      </c>
      <c r="AT125" t="s">
        <v>49</v>
      </c>
      <c r="AU125" s="5" t="s">
        <v>49</v>
      </c>
      <c r="AV125" t="s">
        <v>49</v>
      </c>
      <c r="AW125" t="s">
        <v>49</v>
      </c>
      <c r="AX125" t="s">
        <v>49</v>
      </c>
      <c r="AY125" t="s">
        <v>49</v>
      </c>
    </row>
    <row r="126" spans="1:51" ht="16.05" customHeight="1" x14ac:dyDescent="0.3">
      <c r="A126" s="22" t="s">
        <v>260</v>
      </c>
      <c r="B126" s="3" t="s">
        <v>261</v>
      </c>
      <c r="C126" s="15" t="s">
        <v>205</v>
      </c>
      <c r="D126" s="3" t="s">
        <v>101</v>
      </c>
      <c r="E126" s="3" t="s">
        <v>103</v>
      </c>
      <c r="F126" s="3" t="s">
        <v>106</v>
      </c>
      <c r="G126" s="5" t="s">
        <v>49</v>
      </c>
      <c r="H126" s="5" t="s">
        <v>49</v>
      </c>
      <c r="I126" s="6">
        <v>45708</v>
      </c>
      <c r="J126" s="3">
        <v>10000</v>
      </c>
      <c r="K126" s="6">
        <v>45728</v>
      </c>
      <c r="L126" s="18">
        <v>45717</v>
      </c>
      <c r="M126" s="6">
        <f t="shared" si="4"/>
        <v>45732.5</v>
      </c>
      <c r="N126" t="s">
        <v>49</v>
      </c>
      <c r="O126" s="3" t="s">
        <v>239</v>
      </c>
      <c r="P126">
        <v>0.5</v>
      </c>
      <c r="Q126" t="s">
        <v>49</v>
      </c>
      <c r="R126" t="s">
        <v>49</v>
      </c>
      <c r="S126" s="3">
        <v>10000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s="3">
        <v>10000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49</v>
      </c>
      <c r="AM126" t="s">
        <v>49</v>
      </c>
      <c r="AN126" t="s">
        <v>49</v>
      </c>
      <c r="AO126" t="s">
        <v>49</v>
      </c>
      <c r="AP126" s="3">
        <v>0</v>
      </c>
      <c r="AQ126" s="3" t="s">
        <v>260</v>
      </c>
      <c r="AR126" t="s">
        <v>49</v>
      </c>
      <c r="AS126" t="s">
        <v>49</v>
      </c>
      <c r="AT126" t="s">
        <v>49</v>
      </c>
      <c r="AU126" s="5" t="s">
        <v>49</v>
      </c>
      <c r="AV126" t="s">
        <v>49</v>
      </c>
      <c r="AW126" t="s">
        <v>49</v>
      </c>
      <c r="AX126" t="s">
        <v>49</v>
      </c>
      <c r="AY126" t="s">
        <v>49</v>
      </c>
    </row>
    <row r="127" spans="1:51" ht="16.05" customHeight="1" x14ac:dyDescent="0.3">
      <c r="A127" s="22" t="s">
        <v>262</v>
      </c>
      <c r="B127" s="3" t="s">
        <v>100</v>
      </c>
      <c r="C127" s="15" t="s">
        <v>205</v>
      </c>
      <c r="D127" s="3" t="s">
        <v>101</v>
      </c>
      <c r="E127" s="3" t="s">
        <v>103</v>
      </c>
      <c r="F127" s="3" t="s">
        <v>106</v>
      </c>
      <c r="G127" s="5" t="s">
        <v>49</v>
      </c>
      <c r="H127" s="5" t="s">
        <v>49</v>
      </c>
      <c r="I127" s="6">
        <v>45734</v>
      </c>
      <c r="J127" s="3">
        <v>74250</v>
      </c>
      <c r="K127" s="6">
        <v>45747</v>
      </c>
      <c r="L127" s="18">
        <v>45717</v>
      </c>
      <c r="M127" s="6">
        <f t="shared" si="4"/>
        <v>45732.5</v>
      </c>
      <c r="N127" s="3" t="s">
        <v>204</v>
      </c>
      <c r="O127" s="3" t="s">
        <v>239</v>
      </c>
      <c r="P127">
        <v>0.5</v>
      </c>
      <c r="Q127" s="3">
        <v>0</v>
      </c>
      <c r="R127" s="3">
        <v>0</v>
      </c>
      <c r="S127" s="3">
        <v>37125</v>
      </c>
      <c r="T127" s="3">
        <v>37125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74250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 t="s">
        <v>263</v>
      </c>
      <c r="AR127" s="3">
        <v>37125</v>
      </c>
      <c r="AS127" t="s">
        <v>49</v>
      </c>
      <c r="AT127" t="s">
        <v>49</v>
      </c>
      <c r="AU127" s="5" t="s">
        <v>49</v>
      </c>
      <c r="AV127" t="s">
        <v>49</v>
      </c>
      <c r="AW127" t="s">
        <v>49</v>
      </c>
      <c r="AX127" t="s">
        <v>49</v>
      </c>
      <c r="AY127" t="s">
        <v>49</v>
      </c>
    </row>
    <row r="128" spans="1:51" ht="16.05" customHeight="1" x14ac:dyDescent="0.3">
      <c r="A128" s="22" t="s">
        <v>264</v>
      </c>
      <c r="B128" s="3" t="s">
        <v>100</v>
      </c>
      <c r="C128" s="15" t="s">
        <v>205</v>
      </c>
      <c r="D128" s="3" t="s">
        <v>101</v>
      </c>
      <c r="E128" s="3" t="s">
        <v>103</v>
      </c>
      <c r="F128" s="3" t="s">
        <v>102</v>
      </c>
      <c r="G128" s="5" t="s">
        <v>49</v>
      </c>
      <c r="H128" s="5" t="s">
        <v>49</v>
      </c>
      <c r="I128" s="6">
        <v>45741</v>
      </c>
      <c r="J128" s="3">
        <v>130000</v>
      </c>
      <c r="K128" s="6">
        <v>45769</v>
      </c>
      <c r="L128" s="18">
        <v>45748</v>
      </c>
      <c r="M128" s="6">
        <f t="shared" si="4"/>
        <v>45763</v>
      </c>
      <c r="N128" t="s">
        <v>49</v>
      </c>
      <c r="O128" s="3" t="s">
        <v>239</v>
      </c>
      <c r="P128">
        <v>0.5</v>
      </c>
      <c r="Q128" t="s">
        <v>49</v>
      </c>
      <c r="R128" t="s">
        <v>49</v>
      </c>
      <c r="S128" t="s">
        <v>49</v>
      </c>
      <c r="T128" t="s">
        <v>49</v>
      </c>
      <c r="U128" s="3">
        <v>20000</v>
      </c>
      <c r="V128" s="3">
        <v>26000</v>
      </c>
      <c r="W128" s="3">
        <v>33000</v>
      </c>
      <c r="X128" s="3">
        <v>26000</v>
      </c>
      <c r="Y128" s="3">
        <v>26000</v>
      </c>
      <c r="Z128" s="3">
        <v>26000</v>
      </c>
      <c r="AA128" s="3">
        <v>5000</v>
      </c>
      <c r="AB128" t="s">
        <v>49</v>
      </c>
      <c r="AC128" s="3">
        <v>162000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49</v>
      </c>
      <c r="AM128" t="s">
        <v>49</v>
      </c>
      <c r="AN128" t="s">
        <v>49</v>
      </c>
      <c r="AO128" t="s">
        <v>49</v>
      </c>
      <c r="AP128" s="3">
        <v>0</v>
      </c>
      <c r="AQ128" s="3" t="s">
        <v>245</v>
      </c>
      <c r="AR128" t="s">
        <v>49</v>
      </c>
      <c r="AS128" t="s">
        <v>49</v>
      </c>
      <c r="AT128" t="s">
        <v>49</v>
      </c>
      <c r="AU128" s="5" t="s">
        <v>49</v>
      </c>
      <c r="AV128" t="s">
        <v>49</v>
      </c>
      <c r="AW128" t="s">
        <v>49</v>
      </c>
      <c r="AX128" t="s">
        <v>49</v>
      </c>
      <c r="AY128" t="s">
        <v>49</v>
      </c>
    </row>
    <row r="129" spans="1:51" ht="16.05" customHeight="1" x14ac:dyDescent="0.3">
      <c r="A129" s="22" t="s">
        <v>265</v>
      </c>
      <c r="B129" s="3" t="s">
        <v>100</v>
      </c>
      <c r="C129" s="15" t="s">
        <v>205</v>
      </c>
      <c r="D129" s="3" t="s">
        <v>101</v>
      </c>
      <c r="E129" s="3" t="s">
        <v>103</v>
      </c>
      <c r="F129" s="3" t="s">
        <v>102</v>
      </c>
      <c r="G129" s="5" t="s">
        <v>49</v>
      </c>
      <c r="H129" s="5" t="s">
        <v>49</v>
      </c>
      <c r="I129" s="6">
        <v>45748</v>
      </c>
      <c r="J129" s="3">
        <v>140000</v>
      </c>
      <c r="K129" s="6">
        <v>45792</v>
      </c>
      <c r="L129" s="18">
        <v>45778</v>
      </c>
      <c r="M129" s="6">
        <f t="shared" si="4"/>
        <v>45793.5</v>
      </c>
      <c r="N129" t="s">
        <v>49</v>
      </c>
      <c r="O129" s="3" t="s">
        <v>239</v>
      </c>
      <c r="P129">
        <v>0.5</v>
      </c>
      <c r="Q129" t="s">
        <v>49</v>
      </c>
      <c r="R129" t="s">
        <v>49</v>
      </c>
      <c r="S129" s="3">
        <v>12000</v>
      </c>
      <c r="T129" s="3">
        <v>26000</v>
      </c>
      <c r="U129" s="3">
        <v>26000</v>
      </c>
      <c r="V129" s="3">
        <v>26000</v>
      </c>
      <c r="W129" s="3">
        <v>33000</v>
      </c>
      <c r="X129" s="3">
        <v>26000</v>
      </c>
      <c r="Y129" s="3">
        <v>26000</v>
      </c>
      <c r="Z129" s="3">
        <v>26000</v>
      </c>
      <c r="AA129" s="3">
        <v>26000</v>
      </c>
      <c r="AB129" t="s">
        <v>49</v>
      </c>
      <c r="AC129" s="3">
        <v>227000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49</v>
      </c>
      <c r="AL129" t="s">
        <v>49</v>
      </c>
      <c r="AM129" t="s">
        <v>49</v>
      </c>
      <c r="AN129" t="s">
        <v>49</v>
      </c>
      <c r="AO129" t="s">
        <v>49</v>
      </c>
      <c r="AP129" s="3">
        <v>0</v>
      </c>
      <c r="AQ129" t="s">
        <v>49</v>
      </c>
      <c r="AR129" t="s">
        <v>49</v>
      </c>
      <c r="AS129" t="s">
        <v>49</v>
      </c>
      <c r="AT129" t="s">
        <v>49</v>
      </c>
      <c r="AU129" s="5" t="s">
        <v>49</v>
      </c>
      <c r="AV129" t="s">
        <v>49</v>
      </c>
      <c r="AW129" t="s">
        <v>49</v>
      </c>
      <c r="AX129" t="s">
        <v>49</v>
      </c>
      <c r="AY129" t="s">
        <v>49</v>
      </c>
    </row>
    <row r="130" spans="1:51" ht="16.05" customHeight="1" x14ac:dyDescent="0.3">
      <c r="A130" s="22" t="s">
        <v>266</v>
      </c>
      <c r="B130" s="3" t="s">
        <v>100</v>
      </c>
      <c r="C130" s="15" t="s">
        <v>205</v>
      </c>
      <c r="D130" s="3" t="s">
        <v>101</v>
      </c>
      <c r="E130" s="3" t="s">
        <v>103</v>
      </c>
      <c r="F130" s="3" t="s">
        <v>102</v>
      </c>
      <c r="G130" s="5" t="s">
        <v>49</v>
      </c>
      <c r="H130" s="5" t="s">
        <v>49</v>
      </c>
      <c r="I130" s="6">
        <v>45692</v>
      </c>
      <c r="J130" s="3">
        <v>130000</v>
      </c>
      <c r="K130" s="6">
        <v>45792</v>
      </c>
      <c r="L130" s="18">
        <v>45778</v>
      </c>
      <c r="M130" s="6">
        <f t="shared" si="4"/>
        <v>45793.5</v>
      </c>
      <c r="N130" t="s">
        <v>49</v>
      </c>
      <c r="O130" s="3" t="s">
        <v>239</v>
      </c>
      <c r="P130">
        <v>0.5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s="3">
        <v>26000</v>
      </c>
      <c r="W130" s="3">
        <v>33000</v>
      </c>
      <c r="X130" s="3">
        <v>26000</v>
      </c>
      <c r="Y130" s="3">
        <v>26000</v>
      </c>
      <c r="Z130" s="3">
        <v>33000</v>
      </c>
      <c r="AA130" s="3">
        <v>26000</v>
      </c>
      <c r="AB130" t="s">
        <v>49</v>
      </c>
      <c r="AC130" s="3">
        <v>170000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  <c r="AK130" t="s">
        <v>49</v>
      </c>
      <c r="AL130" t="s">
        <v>49</v>
      </c>
      <c r="AM130" t="s">
        <v>49</v>
      </c>
      <c r="AN130" t="s">
        <v>49</v>
      </c>
      <c r="AO130" t="s">
        <v>49</v>
      </c>
      <c r="AP130" s="3">
        <v>0</v>
      </c>
      <c r="AQ130" t="s">
        <v>49</v>
      </c>
      <c r="AR130" t="s">
        <v>49</v>
      </c>
      <c r="AS130" t="s">
        <v>49</v>
      </c>
      <c r="AT130" t="s">
        <v>49</v>
      </c>
      <c r="AU130" s="5" t="s">
        <v>49</v>
      </c>
      <c r="AV130" t="s">
        <v>49</v>
      </c>
      <c r="AW130" t="s">
        <v>49</v>
      </c>
      <c r="AX130" t="s">
        <v>49</v>
      </c>
      <c r="AY130" t="s">
        <v>49</v>
      </c>
    </row>
    <row r="131" spans="1:51" ht="16.05" customHeight="1" x14ac:dyDescent="0.3">
      <c r="A131" s="22" t="s">
        <v>267</v>
      </c>
      <c r="B131" s="3" t="s">
        <v>100</v>
      </c>
      <c r="C131" s="15" t="s">
        <v>205</v>
      </c>
      <c r="D131" s="3" t="s">
        <v>101</v>
      </c>
      <c r="E131" s="3" t="s">
        <v>103</v>
      </c>
      <c r="F131" s="3" t="s">
        <v>102</v>
      </c>
      <c r="G131" s="5" t="s">
        <v>49</v>
      </c>
      <c r="H131" s="5" t="s">
        <v>49</v>
      </c>
      <c r="I131" s="6">
        <v>45692</v>
      </c>
      <c r="J131" s="3">
        <v>130000</v>
      </c>
      <c r="K131" s="6">
        <v>45792</v>
      </c>
      <c r="L131" s="18">
        <v>45778</v>
      </c>
      <c r="M131" s="6">
        <f t="shared" ref="M131:M194" si="6">EDATE(L131,INT(P131)) + (P131-INT(P131)) * DAY(EOMONTH(EDATE(L131,INT(P131)),0))</f>
        <v>45793.5</v>
      </c>
      <c r="N131" t="s">
        <v>49</v>
      </c>
      <c r="O131" s="3" t="s">
        <v>239</v>
      </c>
      <c r="P131">
        <v>0.5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s="3">
        <v>26000</v>
      </c>
      <c r="W131" s="3">
        <v>33000</v>
      </c>
      <c r="X131" s="3">
        <v>26000</v>
      </c>
      <c r="Y131" s="3">
        <v>26000</v>
      </c>
      <c r="Z131" s="3">
        <v>33000</v>
      </c>
      <c r="AA131" s="3">
        <v>26000</v>
      </c>
      <c r="AB131" t="s">
        <v>49</v>
      </c>
      <c r="AC131" s="3">
        <v>170000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49</v>
      </c>
      <c r="AL131" t="s">
        <v>49</v>
      </c>
      <c r="AM131" t="s">
        <v>49</v>
      </c>
      <c r="AN131" t="s">
        <v>49</v>
      </c>
      <c r="AO131" t="s">
        <v>49</v>
      </c>
      <c r="AP131" s="3">
        <v>0</v>
      </c>
      <c r="AQ131" t="s">
        <v>49</v>
      </c>
      <c r="AR131" t="s">
        <v>49</v>
      </c>
      <c r="AS131" t="s">
        <v>49</v>
      </c>
      <c r="AT131" t="s">
        <v>49</v>
      </c>
      <c r="AU131" s="5" t="s">
        <v>49</v>
      </c>
      <c r="AV131" t="s">
        <v>49</v>
      </c>
      <c r="AW131" t="s">
        <v>49</v>
      </c>
      <c r="AX131" t="s">
        <v>49</v>
      </c>
      <c r="AY131" t="s">
        <v>49</v>
      </c>
    </row>
    <row r="132" spans="1:51" ht="16.05" customHeight="1" x14ac:dyDescent="0.3">
      <c r="A132" s="22" t="s">
        <v>268</v>
      </c>
      <c r="B132" s="3" t="s">
        <v>100</v>
      </c>
      <c r="C132" s="15" t="s">
        <v>205</v>
      </c>
      <c r="D132" s="3" t="s">
        <v>101</v>
      </c>
      <c r="E132" s="3" t="s">
        <v>103</v>
      </c>
      <c r="F132" s="3" t="s">
        <v>106</v>
      </c>
      <c r="G132" s="5" t="s">
        <v>49</v>
      </c>
      <c r="H132" s="5" t="s">
        <v>49</v>
      </c>
      <c r="I132" s="6">
        <v>45782</v>
      </c>
      <c r="J132" s="3">
        <v>60750</v>
      </c>
      <c r="K132" s="6">
        <v>45814</v>
      </c>
      <c r="L132" s="18">
        <v>45809</v>
      </c>
      <c r="M132" s="6">
        <f t="shared" si="6"/>
        <v>45824</v>
      </c>
      <c r="N132" s="3" t="s">
        <v>163</v>
      </c>
      <c r="O132" s="3" t="s">
        <v>239</v>
      </c>
      <c r="P132">
        <v>0.5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s="3">
        <v>32500</v>
      </c>
      <c r="W132" s="3">
        <v>32500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s="3">
        <v>65000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49</v>
      </c>
      <c r="AL132" t="s">
        <v>49</v>
      </c>
      <c r="AM132" t="s">
        <v>49</v>
      </c>
      <c r="AN132" t="s">
        <v>49</v>
      </c>
      <c r="AO132" t="s">
        <v>49</v>
      </c>
      <c r="AP132" s="3">
        <v>0</v>
      </c>
      <c r="AQ132" t="s">
        <v>49</v>
      </c>
      <c r="AR132" t="s">
        <v>49</v>
      </c>
      <c r="AS132" t="s">
        <v>49</v>
      </c>
      <c r="AT132" t="s">
        <v>49</v>
      </c>
      <c r="AU132" s="5" t="s">
        <v>49</v>
      </c>
      <c r="AV132" t="s">
        <v>49</v>
      </c>
      <c r="AW132" t="s">
        <v>49</v>
      </c>
      <c r="AX132" t="s">
        <v>49</v>
      </c>
      <c r="AY132" t="s">
        <v>49</v>
      </c>
    </row>
    <row r="133" spans="1:51" ht="16.05" customHeight="1" x14ac:dyDescent="0.3">
      <c r="A133" s="22" t="s">
        <v>269</v>
      </c>
      <c r="B133" s="3" t="s">
        <v>187</v>
      </c>
      <c r="C133" s="15" t="s">
        <v>205</v>
      </c>
      <c r="D133" s="3" t="s">
        <v>50</v>
      </c>
      <c r="E133" s="3" t="s">
        <v>53</v>
      </c>
      <c r="F133" s="3" t="s">
        <v>83</v>
      </c>
      <c r="G133" s="5" t="s">
        <v>49</v>
      </c>
      <c r="H133" s="5" t="s">
        <v>49</v>
      </c>
      <c r="I133" s="6">
        <v>45746</v>
      </c>
      <c r="J133" s="3">
        <v>5300000</v>
      </c>
      <c r="K133" s="6">
        <v>45814</v>
      </c>
      <c r="L133" s="18">
        <v>45809</v>
      </c>
      <c r="M133" s="6">
        <f t="shared" si="6"/>
        <v>45824</v>
      </c>
      <c r="N133" t="s">
        <v>49</v>
      </c>
      <c r="O133" s="3" t="s">
        <v>239</v>
      </c>
      <c r="P133">
        <v>0.5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s="3">
        <v>0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49</v>
      </c>
      <c r="AL133" t="s">
        <v>49</v>
      </c>
      <c r="AM133" t="s">
        <v>49</v>
      </c>
      <c r="AN133" t="s">
        <v>49</v>
      </c>
      <c r="AO133" t="s">
        <v>49</v>
      </c>
      <c r="AP133" s="3">
        <v>0</v>
      </c>
      <c r="AQ133" t="s">
        <v>49</v>
      </c>
      <c r="AR133" t="s">
        <v>49</v>
      </c>
      <c r="AS133" t="s">
        <v>49</v>
      </c>
      <c r="AT133" t="s">
        <v>49</v>
      </c>
      <c r="AU133" s="5" t="s">
        <v>49</v>
      </c>
      <c r="AV133" t="s">
        <v>49</v>
      </c>
      <c r="AW133" t="s">
        <v>49</v>
      </c>
      <c r="AX133" t="s">
        <v>49</v>
      </c>
      <c r="AY133" t="s">
        <v>49</v>
      </c>
    </row>
    <row r="134" spans="1:51" ht="16.05" customHeight="1" x14ac:dyDescent="0.3">
      <c r="A134" s="22" t="s">
        <v>270</v>
      </c>
      <c r="B134" s="3" t="s">
        <v>100</v>
      </c>
      <c r="C134" s="15" t="s">
        <v>205</v>
      </c>
      <c r="D134" s="3" t="s">
        <v>101</v>
      </c>
      <c r="E134" s="3" t="s">
        <v>103</v>
      </c>
      <c r="F134" s="3" t="s">
        <v>106</v>
      </c>
      <c r="G134" s="5" t="s">
        <v>49</v>
      </c>
      <c r="H134" s="5" t="s">
        <v>49</v>
      </c>
      <c r="I134" s="6">
        <v>45827</v>
      </c>
      <c r="J134" s="3">
        <v>612000</v>
      </c>
      <c r="K134" s="6">
        <v>45827</v>
      </c>
      <c r="L134" s="18">
        <v>45839</v>
      </c>
      <c r="M134" s="6">
        <f t="shared" si="6"/>
        <v>46447</v>
      </c>
      <c r="N134" s="3" t="s">
        <v>271</v>
      </c>
      <c r="O134" s="3" t="s">
        <v>239</v>
      </c>
      <c r="P134" s="3">
        <v>20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30600</v>
      </c>
      <c r="X134" s="3">
        <v>30600</v>
      </c>
      <c r="Y134" s="3">
        <v>30600</v>
      </c>
      <c r="Z134" s="3">
        <v>30600</v>
      </c>
      <c r="AA134" s="3">
        <v>30600</v>
      </c>
      <c r="AB134" s="3">
        <v>30600</v>
      </c>
      <c r="AC134" s="3">
        <v>183600</v>
      </c>
      <c r="AD134" s="3">
        <v>30600</v>
      </c>
      <c r="AE134" s="3">
        <v>30600</v>
      </c>
      <c r="AF134" s="3">
        <v>30600</v>
      </c>
      <c r="AG134" s="3">
        <v>30600</v>
      </c>
      <c r="AH134" s="3">
        <v>30600</v>
      </c>
      <c r="AI134" s="3">
        <v>30600</v>
      </c>
      <c r="AJ134" s="3">
        <v>30600</v>
      </c>
      <c r="AK134" s="3">
        <v>30600</v>
      </c>
      <c r="AL134" s="3">
        <v>30600</v>
      </c>
      <c r="AM134" s="3">
        <v>30600</v>
      </c>
      <c r="AN134" s="3">
        <v>30600</v>
      </c>
      <c r="AO134" s="3">
        <v>30600</v>
      </c>
      <c r="AP134" s="3">
        <v>367200</v>
      </c>
      <c r="AQ134" t="s">
        <v>49</v>
      </c>
      <c r="AR134" s="3">
        <v>22102.02</v>
      </c>
      <c r="AS134" t="s">
        <v>49</v>
      </c>
      <c r="AT134" t="s">
        <v>49</v>
      </c>
      <c r="AU134" s="5" t="s">
        <v>49</v>
      </c>
      <c r="AV134" t="s">
        <v>49</v>
      </c>
      <c r="AW134" t="s">
        <v>49</v>
      </c>
      <c r="AX134" t="s">
        <v>49</v>
      </c>
      <c r="AY134" t="s">
        <v>49</v>
      </c>
    </row>
    <row r="135" spans="1:51" ht="16.05" customHeight="1" x14ac:dyDescent="0.3">
      <c r="A135" s="22" t="s">
        <v>272</v>
      </c>
      <c r="B135" s="3" t="s">
        <v>203</v>
      </c>
      <c r="C135" s="15" t="s">
        <v>205</v>
      </c>
      <c r="D135" s="3" t="s">
        <v>55</v>
      </c>
      <c r="E135" s="3" t="s">
        <v>57</v>
      </c>
      <c r="F135" s="3" t="s">
        <v>94</v>
      </c>
      <c r="G135" s="5" t="s">
        <v>49</v>
      </c>
      <c r="H135" s="5" t="s">
        <v>49</v>
      </c>
      <c r="I135" s="6">
        <v>45782</v>
      </c>
      <c r="J135" s="3">
        <v>57500</v>
      </c>
      <c r="K135" s="6">
        <v>45827</v>
      </c>
      <c r="L135" s="18">
        <v>45839</v>
      </c>
      <c r="M135" s="6">
        <f t="shared" si="6"/>
        <v>45854.5</v>
      </c>
      <c r="N135" s="3" t="s">
        <v>271</v>
      </c>
      <c r="O135" s="3" t="s">
        <v>239</v>
      </c>
      <c r="P135">
        <v>0.5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s="3">
        <v>45000</v>
      </c>
      <c r="X135" s="3">
        <v>10000</v>
      </c>
      <c r="Y135" t="s">
        <v>49</v>
      </c>
      <c r="Z135" t="s">
        <v>49</v>
      </c>
      <c r="AA135" t="s">
        <v>49</v>
      </c>
      <c r="AB135" t="s">
        <v>49</v>
      </c>
      <c r="AC135" s="3">
        <v>55000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49</v>
      </c>
      <c r="AN135" t="s">
        <v>49</v>
      </c>
      <c r="AO135" t="s">
        <v>49</v>
      </c>
      <c r="AP135" s="3">
        <v>0</v>
      </c>
      <c r="AQ135" t="s">
        <v>49</v>
      </c>
      <c r="AR135" t="s">
        <v>49</v>
      </c>
      <c r="AS135" t="s">
        <v>49</v>
      </c>
      <c r="AT135" t="s">
        <v>49</v>
      </c>
      <c r="AU135" s="5" t="s">
        <v>49</v>
      </c>
      <c r="AV135" t="s">
        <v>49</v>
      </c>
      <c r="AW135" t="s">
        <v>49</v>
      </c>
      <c r="AX135" t="s">
        <v>49</v>
      </c>
      <c r="AY135" t="s">
        <v>49</v>
      </c>
    </row>
    <row r="136" spans="1:51" ht="16.05" customHeight="1" x14ac:dyDescent="0.3">
      <c r="A136" s="22" t="s">
        <v>273</v>
      </c>
      <c r="B136" s="3" t="s">
        <v>131</v>
      </c>
      <c r="C136" s="15" t="s">
        <v>205</v>
      </c>
      <c r="D136" s="3" t="s">
        <v>101</v>
      </c>
      <c r="E136" s="3" t="s">
        <v>103</v>
      </c>
      <c r="F136" s="3" t="s">
        <v>102</v>
      </c>
      <c r="G136" s="5" t="s">
        <v>49</v>
      </c>
      <c r="H136" s="5" t="s">
        <v>49</v>
      </c>
      <c r="I136" s="6">
        <v>45796</v>
      </c>
      <c r="J136" s="3">
        <v>352000</v>
      </c>
      <c r="K136" s="6">
        <v>45844</v>
      </c>
      <c r="L136" s="18">
        <v>45839</v>
      </c>
      <c r="M136" s="6">
        <f t="shared" si="6"/>
        <v>45854.5</v>
      </c>
      <c r="N136" t="s">
        <v>49</v>
      </c>
      <c r="O136" s="3" t="s">
        <v>239</v>
      </c>
      <c r="P136">
        <v>0.5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s="3">
        <v>16000</v>
      </c>
      <c r="X136" s="3">
        <v>32000</v>
      </c>
      <c r="Y136" s="3">
        <v>32000</v>
      </c>
      <c r="Z136" s="3">
        <v>32000</v>
      </c>
      <c r="AA136" s="3">
        <v>32000</v>
      </c>
      <c r="AB136" s="3">
        <v>24000</v>
      </c>
      <c r="AC136" s="3">
        <v>168000</v>
      </c>
      <c r="AD136" s="3">
        <v>24000</v>
      </c>
      <c r="AE136" s="3">
        <v>32000</v>
      </c>
      <c r="AF136" s="3">
        <v>32000</v>
      </c>
      <c r="AG136" s="3">
        <v>32000</v>
      </c>
      <c r="AH136" s="3">
        <v>32000</v>
      </c>
      <c r="AI136" s="3">
        <v>32000</v>
      </c>
      <c r="AJ136" s="3">
        <v>10000</v>
      </c>
      <c r="AK136" t="s">
        <v>49</v>
      </c>
      <c r="AL136" t="s">
        <v>49</v>
      </c>
      <c r="AM136" t="s">
        <v>49</v>
      </c>
      <c r="AN136" t="s">
        <v>49</v>
      </c>
      <c r="AO136" t="s">
        <v>49</v>
      </c>
      <c r="AP136" s="3">
        <v>194000</v>
      </c>
      <c r="AQ136" t="s">
        <v>49</v>
      </c>
      <c r="AR136" t="s">
        <v>49</v>
      </c>
      <c r="AS136" t="s">
        <v>49</v>
      </c>
      <c r="AT136" t="s">
        <v>49</v>
      </c>
      <c r="AU136" s="5" t="s">
        <v>49</v>
      </c>
      <c r="AV136" t="s">
        <v>49</v>
      </c>
      <c r="AW136" t="s">
        <v>49</v>
      </c>
      <c r="AX136" t="s">
        <v>49</v>
      </c>
      <c r="AY136" t="s">
        <v>49</v>
      </c>
    </row>
    <row r="137" spans="1:51" ht="16.05" customHeight="1" x14ac:dyDescent="0.3">
      <c r="A137" s="22" t="s">
        <v>274</v>
      </c>
      <c r="B137" s="3" t="s">
        <v>261</v>
      </c>
      <c r="C137" s="15" t="s">
        <v>205</v>
      </c>
      <c r="D137" s="3" t="s">
        <v>101</v>
      </c>
      <c r="E137" s="3" t="s">
        <v>103</v>
      </c>
      <c r="F137" s="3" t="s">
        <v>106</v>
      </c>
      <c r="G137" s="5" t="s">
        <v>49</v>
      </c>
      <c r="H137" s="5" t="s">
        <v>49</v>
      </c>
      <c r="I137" s="6">
        <v>45737</v>
      </c>
      <c r="J137" s="3">
        <v>11600</v>
      </c>
      <c r="K137" s="6">
        <v>45874</v>
      </c>
      <c r="L137" s="18">
        <v>45870</v>
      </c>
      <c r="M137" s="6">
        <f t="shared" si="6"/>
        <v>45885.5</v>
      </c>
      <c r="N137" t="s">
        <v>49</v>
      </c>
      <c r="O137" s="3" t="s">
        <v>239</v>
      </c>
      <c r="P137">
        <v>0.5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s="3">
        <v>11600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s="3">
        <v>11600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s="3">
        <v>0</v>
      </c>
      <c r="AQ137" s="3" t="s">
        <v>260</v>
      </c>
      <c r="AR137" t="s">
        <v>49</v>
      </c>
      <c r="AS137" t="s">
        <v>49</v>
      </c>
      <c r="AT137" t="s">
        <v>49</v>
      </c>
      <c r="AU137" s="5" t="s">
        <v>49</v>
      </c>
      <c r="AV137" t="s">
        <v>49</v>
      </c>
      <c r="AW137" t="s">
        <v>49</v>
      </c>
      <c r="AX137" t="s">
        <v>49</v>
      </c>
      <c r="AY137" t="s">
        <v>49</v>
      </c>
    </row>
    <row r="138" spans="1:51" ht="16.05" customHeight="1" x14ac:dyDescent="0.3">
      <c r="A138" s="22" t="s">
        <v>275</v>
      </c>
      <c r="B138" s="3" t="s">
        <v>180</v>
      </c>
      <c r="C138" s="15" t="s">
        <v>205</v>
      </c>
      <c r="D138" s="3" t="s">
        <v>101</v>
      </c>
      <c r="E138" s="3" t="s">
        <v>103</v>
      </c>
      <c r="F138" s="3" t="s">
        <v>106</v>
      </c>
      <c r="G138" s="5" t="s">
        <v>49</v>
      </c>
      <c r="H138" s="5" t="s">
        <v>49</v>
      </c>
      <c r="I138" s="6">
        <v>45800</v>
      </c>
      <c r="J138" s="3">
        <v>108000</v>
      </c>
      <c r="K138" s="6">
        <v>45880</v>
      </c>
      <c r="L138" s="18">
        <v>45870</v>
      </c>
      <c r="M138" s="6">
        <f t="shared" si="6"/>
        <v>45885.5</v>
      </c>
      <c r="N138" s="3" t="s">
        <v>276</v>
      </c>
      <c r="O138" s="3" t="s">
        <v>239</v>
      </c>
      <c r="P138">
        <v>0.5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18000</v>
      </c>
      <c r="Y138" s="3">
        <v>18000</v>
      </c>
      <c r="Z138" s="3">
        <v>18000</v>
      </c>
      <c r="AA138" s="3">
        <v>18000</v>
      </c>
      <c r="AB138" s="3">
        <v>18000</v>
      </c>
      <c r="AC138" s="3">
        <v>90000</v>
      </c>
      <c r="AD138" s="3">
        <v>18000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18000</v>
      </c>
      <c r="AQ138" t="s">
        <v>49</v>
      </c>
      <c r="AR138" s="3">
        <v>18000</v>
      </c>
      <c r="AS138" t="s">
        <v>49</v>
      </c>
      <c r="AT138" t="s">
        <v>49</v>
      </c>
      <c r="AU138" s="5" t="s">
        <v>49</v>
      </c>
      <c r="AV138" t="s">
        <v>49</v>
      </c>
      <c r="AW138" t="s">
        <v>49</v>
      </c>
      <c r="AX138" t="s">
        <v>49</v>
      </c>
      <c r="AY138" t="s">
        <v>49</v>
      </c>
    </row>
    <row r="139" spans="1:51" ht="16.05" customHeight="1" x14ac:dyDescent="0.3">
      <c r="A139" s="22" t="s">
        <v>277</v>
      </c>
      <c r="B139" s="3" t="s">
        <v>203</v>
      </c>
      <c r="C139" s="15" t="s">
        <v>205</v>
      </c>
      <c r="D139" s="3" t="s">
        <v>55</v>
      </c>
      <c r="E139" s="3" t="s">
        <v>57</v>
      </c>
      <c r="F139" s="3" t="s">
        <v>94</v>
      </c>
      <c r="G139" s="5" t="s">
        <v>49</v>
      </c>
      <c r="H139" s="5" t="s">
        <v>49</v>
      </c>
      <c r="I139" s="6">
        <v>45870</v>
      </c>
      <c r="J139" s="3">
        <v>129500</v>
      </c>
      <c r="K139" s="6">
        <v>45880</v>
      </c>
      <c r="L139" s="18">
        <v>45870</v>
      </c>
      <c r="M139" s="6">
        <f t="shared" si="6"/>
        <v>45885.5</v>
      </c>
      <c r="N139" s="3" t="s">
        <v>276</v>
      </c>
      <c r="O139" s="3" t="s">
        <v>239</v>
      </c>
      <c r="P139">
        <v>0.5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64750</v>
      </c>
      <c r="Y139" s="3">
        <v>64750</v>
      </c>
      <c r="Z139" s="3">
        <v>0</v>
      </c>
      <c r="AA139" s="3">
        <v>0</v>
      </c>
      <c r="AB139" s="3">
        <v>0</v>
      </c>
      <c r="AC139" s="3">
        <v>129500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t="s">
        <v>49</v>
      </c>
      <c r="AR139" s="3">
        <v>64750</v>
      </c>
      <c r="AS139" s="6">
        <v>45897</v>
      </c>
      <c r="AT139" s="6">
        <v>45928</v>
      </c>
      <c r="AU139" s="5" t="s">
        <v>49</v>
      </c>
      <c r="AV139" t="s">
        <v>49</v>
      </c>
      <c r="AW139" t="s">
        <v>49</v>
      </c>
      <c r="AX139" t="s">
        <v>49</v>
      </c>
      <c r="AY139" t="s">
        <v>49</v>
      </c>
    </row>
    <row r="140" spans="1:51" ht="16.05" customHeight="1" x14ac:dyDescent="0.3">
      <c r="A140" s="22" t="s">
        <v>278</v>
      </c>
      <c r="B140" s="3" t="s">
        <v>203</v>
      </c>
      <c r="C140" s="15" t="s">
        <v>205</v>
      </c>
      <c r="D140" s="3" t="s">
        <v>55</v>
      </c>
      <c r="E140" s="3" t="s">
        <v>57</v>
      </c>
      <c r="F140" s="3" t="s">
        <v>94</v>
      </c>
      <c r="G140" s="8" t="s">
        <v>471</v>
      </c>
      <c r="H140" s="10" t="s">
        <v>133</v>
      </c>
      <c r="I140" s="6">
        <v>45890</v>
      </c>
      <c r="J140" s="3">
        <v>7500</v>
      </c>
      <c r="K140" s="6">
        <v>45891</v>
      </c>
      <c r="L140" s="18">
        <v>45870</v>
      </c>
      <c r="M140" s="6">
        <f t="shared" si="6"/>
        <v>45885.5</v>
      </c>
      <c r="N140" s="3" t="s">
        <v>279</v>
      </c>
      <c r="O140" s="3" t="s">
        <v>239</v>
      </c>
      <c r="P140">
        <v>0.5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7500</v>
      </c>
      <c r="Z140" s="3">
        <v>0</v>
      </c>
      <c r="AA140" s="3">
        <v>0</v>
      </c>
      <c r="AB140" s="3">
        <v>0</v>
      </c>
      <c r="AC140" s="3">
        <v>7500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t="s">
        <v>49</v>
      </c>
      <c r="AR140" s="3">
        <v>7500</v>
      </c>
      <c r="AS140" s="6">
        <v>45928</v>
      </c>
      <c r="AT140" s="6">
        <v>45928</v>
      </c>
      <c r="AU140" s="5" t="s">
        <v>49</v>
      </c>
      <c r="AV140" t="s">
        <v>49</v>
      </c>
      <c r="AW140" t="s">
        <v>49</v>
      </c>
      <c r="AX140" t="s">
        <v>49</v>
      </c>
      <c r="AY140" t="s">
        <v>49</v>
      </c>
    </row>
    <row r="141" spans="1:51" ht="16.05" customHeight="1" x14ac:dyDescent="0.3">
      <c r="A141" s="22" t="s">
        <v>280</v>
      </c>
      <c r="B141" s="3" t="s">
        <v>281</v>
      </c>
      <c r="C141" s="15" t="s">
        <v>205</v>
      </c>
      <c r="D141" s="3" t="s">
        <v>101</v>
      </c>
      <c r="E141" s="3" t="s">
        <v>103</v>
      </c>
      <c r="F141" s="3" t="s">
        <v>106</v>
      </c>
      <c r="G141" s="11" t="s">
        <v>141</v>
      </c>
      <c r="H141" s="9" t="s">
        <v>70</v>
      </c>
      <c r="I141" s="6">
        <v>45903</v>
      </c>
      <c r="J141" s="3">
        <v>70000</v>
      </c>
      <c r="K141" s="6">
        <v>45909</v>
      </c>
      <c r="L141" s="18">
        <v>45901</v>
      </c>
      <c r="M141" s="6">
        <f t="shared" si="6"/>
        <v>45916</v>
      </c>
      <c r="N141" s="3" t="s">
        <v>279</v>
      </c>
      <c r="O141" s="3" t="s">
        <v>239</v>
      </c>
      <c r="P141">
        <v>0.5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10500</v>
      </c>
      <c r="Z141" s="3">
        <v>17500</v>
      </c>
      <c r="AA141" s="3">
        <v>14000</v>
      </c>
      <c r="AB141" t="s">
        <v>49</v>
      </c>
      <c r="AC141" s="3">
        <v>42000</v>
      </c>
      <c r="AD141" t="s">
        <v>49</v>
      </c>
      <c r="AE141" s="3">
        <v>21000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21000</v>
      </c>
      <c r="AQ141" t="s">
        <v>49</v>
      </c>
      <c r="AR141" s="3">
        <v>11666.67</v>
      </c>
      <c r="AS141" t="s">
        <v>49</v>
      </c>
      <c r="AT141" t="s">
        <v>49</v>
      </c>
      <c r="AU141" s="5" t="s">
        <v>49</v>
      </c>
      <c r="AV141" t="s">
        <v>49</v>
      </c>
      <c r="AW141" t="s">
        <v>49</v>
      </c>
      <c r="AX141" t="s">
        <v>49</v>
      </c>
      <c r="AY141" t="s">
        <v>49</v>
      </c>
    </row>
    <row r="142" spans="1:51" ht="16.05" customHeight="1" x14ac:dyDescent="0.3">
      <c r="A142" s="22" t="s">
        <v>282</v>
      </c>
      <c r="B142" s="3" t="s">
        <v>203</v>
      </c>
      <c r="C142" s="15" t="s">
        <v>205</v>
      </c>
      <c r="D142" s="3" t="s">
        <v>55</v>
      </c>
      <c r="E142" s="3" t="s">
        <v>57</v>
      </c>
      <c r="F142" s="3" t="s">
        <v>94</v>
      </c>
      <c r="G142" s="8" t="s">
        <v>471</v>
      </c>
      <c r="H142" s="10" t="s">
        <v>133</v>
      </c>
      <c r="I142" s="6">
        <v>45870</v>
      </c>
      <c r="J142" s="3">
        <v>441000</v>
      </c>
      <c r="K142" s="6">
        <v>45911</v>
      </c>
      <c r="L142" s="18">
        <v>45901</v>
      </c>
      <c r="M142" s="6">
        <f t="shared" si="6"/>
        <v>45916</v>
      </c>
      <c r="N142" s="3" t="s">
        <v>279</v>
      </c>
      <c r="O142" s="3" t="s">
        <v>239</v>
      </c>
      <c r="P142">
        <v>0.5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46000</v>
      </c>
      <c r="Z142" s="3">
        <v>130000</v>
      </c>
      <c r="AA142" s="3">
        <v>104000</v>
      </c>
      <c r="AB142" s="3">
        <v>100000</v>
      </c>
      <c r="AC142" s="3">
        <v>380000</v>
      </c>
      <c r="AD142" s="3">
        <v>61000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61000</v>
      </c>
      <c r="AQ142" t="s">
        <v>49</v>
      </c>
      <c r="AR142" s="3">
        <v>88200</v>
      </c>
      <c r="AS142" s="6">
        <v>45928</v>
      </c>
      <c r="AT142" s="6">
        <v>46050</v>
      </c>
      <c r="AU142" s="5" t="s">
        <v>49</v>
      </c>
      <c r="AV142" t="s">
        <v>49</v>
      </c>
      <c r="AW142" t="s">
        <v>49</v>
      </c>
      <c r="AX142" t="s">
        <v>49</v>
      </c>
      <c r="AY142" t="s">
        <v>49</v>
      </c>
    </row>
    <row r="143" spans="1:51" ht="16.05" customHeight="1" x14ac:dyDescent="0.3">
      <c r="A143" s="22" t="s">
        <v>283</v>
      </c>
      <c r="B143" s="3" t="s">
        <v>187</v>
      </c>
      <c r="C143" s="15" t="s">
        <v>205</v>
      </c>
      <c r="D143" s="3" t="s">
        <v>50</v>
      </c>
      <c r="E143" s="3" t="s">
        <v>53</v>
      </c>
      <c r="F143" s="3" t="s">
        <v>83</v>
      </c>
      <c r="G143" s="10" t="s">
        <v>132</v>
      </c>
      <c r="H143" s="10" t="s">
        <v>133</v>
      </c>
      <c r="I143" s="6">
        <v>45918</v>
      </c>
      <c r="J143" s="3">
        <v>8000000</v>
      </c>
      <c r="K143" s="6">
        <v>45947</v>
      </c>
      <c r="L143" s="18">
        <v>45931</v>
      </c>
      <c r="M143" s="6">
        <f t="shared" si="6"/>
        <v>45946.5</v>
      </c>
      <c r="N143" t="s">
        <v>49</v>
      </c>
      <c r="O143" t="s">
        <v>49</v>
      </c>
      <c r="P143">
        <v>0.5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s="3">
        <v>0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49</v>
      </c>
      <c r="AM143" t="s">
        <v>49</v>
      </c>
      <c r="AN143" t="s">
        <v>49</v>
      </c>
      <c r="AO143" t="s">
        <v>49</v>
      </c>
      <c r="AP143" s="3">
        <v>0</v>
      </c>
      <c r="AQ143" t="s">
        <v>49</v>
      </c>
      <c r="AR143" t="s">
        <v>49</v>
      </c>
      <c r="AS143" t="s">
        <v>49</v>
      </c>
      <c r="AT143" t="s">
        <v>49</v>
      </c>
      <c r="AU143" s="5" t="s">
        <v>49</v>
      </c>
      <c r="AV143" t="s">
        <v>49</v>
      </c>
      <c r="AW143" t="s">
        <v>49</v>
      </c>
      <c r="AX143" t="s">
        <v>49</v>
      </c>
      <c r="AY143" t="s">
        <v>49</v>
      </c>
    </row>
    <row r="144" spans="1:51" ht="16.05" customHeight="1" x14ac:dyDescent="0.3">
      <c r="A144" s="22" t="s">
        <v>284</v>
      </c>
      <c r="B144" s="3" t="s">
        <v>187</v>
      </c>
      <c r="C144" s="15" t="s">
        <v>205</v>
      </c>
      <c r="D144" s="3" t="s">
        <v>50</v>
      </c>
      <c r="E144" s="3" t="s">
        <v>53</v>
      </c>
      <c r="F144" s="3" t="s">
        <v>83</v>
      </c>
      <c r="G144" s="8" t="s">
        <v>471</v>
      </c>
      <c r="H144" s="10" t="s">
        <v>133</v>
      </c>
      <c r="I144" s="6">
        <v>45918</v>
      </c>
      <c r="J144" s="3">
        <v>8500000</v>
      </c>
      <c r="K144" s="6">
        <v>45947</v>
      </c>
      <c r="L144" s="18">
        <v>45931</v>
      </c>
      <c r="M144" s="6">
        <f t="shared" si="6"/>
        <v>45946.5</v>
      </c>
      <c r="N144" t="s">
        <v>49</v>
      </c>
      <c r="O144" t="s">
        <v>49</v>
      </c>
      <c r="P144">
        <v>0.5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s="3">
        <v>0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49</v>
      </c>
      <c r="AN144" t="s">
        <v>49</v>
      </c>
      <c r="AO144" t="s">
        <v>49</v>
      </c>
      <c r="AP144" s="3">
        <v>0</v>
      </c>
      <c r="AQ144" t="s">
        <v>49</v>
      </c>
      <c r="AR144" t="s">
        <v>49</v>
      </c>
      <c r="AS144" t="s">
        <v>49</v>
      </c>
      <c r="AT144" t="s">
        <v>49</v>
      </c>
      <c r="AU144" s="5" t="s">
        <v>49</v>
      </c>
      <c r="AV144" t="s">
        <v>49</v>
      </c>
      <c r="AW144" t="s">
        <v>49</v>
      </c>
      <c r="AX144" t="s">
        <v>49</v>
      </c>
      <c r="AY144" t="s">
        <v>49</v>
      </c>
    </row>
    <row r="145" spans="1:51" ht="16.05" customHeight="1" x14ac:dyDescent="0.3">
      <c r="A145" s="22" t="s">
        <v>285</v>
      </c>
      <c r="B145" s="3" t="s">
        <v>227</v>
      </c>
      <c r="C145" s="15" t="s">
        <v>205</v>
      </c>
      <c r="D145" s="3" t="s">
        <v>55</v>
      </c>
      <c r="E145" s="3" t="s">
        <v>57</v>
      </c>
      <c r="F145" s="3" t="s">
        <v>56</v>
      </c>
      <c r="G145" s="9" t="s">
        <v>135</v>
      </c>
      <c r="H145" s="9" t="s">
        <v>70</v>
      </c>
      <c r="I145" s="6">
        <v>45945</v>
      </c>
      <c r="J145" s="3">
        <v>145600</v>
      </c>
      <c r="K145" s="6">
        <v>45952</v>
      </c>
      <c r="L145" s="18">
        <v>45962</v>
      </c>
      <c r="M145" s="6">
        <f t="shared" si="6"/>
        <v>45977</v>
      </c>
      <c r="N145" s="3" t="s">
        <v>286</v>
      </c>
      <c r="O145" s="3" t="s">
        <v>239</v>
      </c>
      <c r="P145">
        <v>0.5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2800</v>
      </c>
      <c r="AA145" s="3">
        <v>11200</v>
      </c>
      <c r="AB145" s="3">
        <v>8400</v>
      </c>
      <c r="AC145" s="3">
        <v>22400</v>
      </c>
      <c r="AD145" s="3">
        <v>12133.33</v>
      </c>
      <c r="AE145" s="3">
        <v>12133.33</v>
      </c>
      <c r="AF145" s="3">
        <v>12133.33</v>
      </c>
      <c r="AG145" s="3">
        <v>12133.33</v>
      </c>
      <c r="AH145" s="3">
        <v>12133.33</v>
      </c>
      <c r="AI145" s="3">
        <v>12133.33</v>
      </c>
      <c r="AJ145" s="3">
        <v>12133.33</v>
      </c>
      <c r="AK145" s="3">
        <v>12133.33</v>
      </c>
      <c r="AL145" s="3">
        <v>12133.33</v>
      </c>
      <c r="AM145" s="3">
        <v>12133.33</v>
      </c>
      <c r="AN145" s="3">
        <v>0</v>
      </c>
      <c r="AO145" s="3">
        <v>0</v>
      </c>
      <c r="AP145" s="3">
        <v>121333.3</v>
      </c>
      <c r="AQ145" t="s">
        <v>49</v>
      </c>
      <c r="AR145" s="3">
        <v>12133.33</v>
      </c>
      <c r="AS145" s="6">
        <v>45988</v>
      </c>
      <c r="AT145" s="6">
        <v>46322</v>
      </c>
      <c r="AU145" s="5" t="s">
        <v>49</v>
      </c>
      <c r="AV145" t="s">
        <v>49</v>
      </c>
      <c r="AW145" t="s">
        <v>49</v>
      </c>
      <c r="AX145" t="s">
        <v>49</v>
      </c>
      <c r="AY145" t="s">
        <v>49</v>
      </c>
    </row>
    <row r="146" spans="1:51" ht="16.05" customHeight="1" x14ac:dyDescent="0.3">
      <c r="A146" s="22" t="s">
        <v>287</v>
      </c>
      <c r="B146" s="3" t="s">
        <v>100</v>
      </c>
      <c r="C146" s="15" t="s">
        <v>205</v>
      </c>
      <c r="D146" s="3" t="s">
        <v>101</v>
      </c>
      <c r="E146" s="3" t="s">
        <v>103</v>
      </c>
      <c r="F146" s="3" t="s">
        <v>102</v>
      </c>
      <c r="G146" s="5" t="s">
        <v>49</v>
      </c>
      <c r="H146" s="5" t="s">
        <v>49</v>
      </c>
      <c r="I146" t="s">
        <v>49</v>
      </c>
      <c r="J146" s="3">
        <v>130000</v>
      </c>
      <c r="K146" s="6">
        <v>45954</v>
      </c>
      <c r="L146" s="18">
        <v>45931</v>
      </c>
      <c r="M146" s="6">
        <f t="shared" si="6"/>
        <v>45946.5</v>
      </c>
      <c r="N146" t="s">
        <v>49</v>
      </c>
      <c r="O146" s="3" t="s">
        <v>239</v>
      </c>
      <c r="P146">
        <v>0.5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  <c r="AB146" s="3">
        <v>26000</v>
      </c>
      <c r="AC146" s="3">
        <v>26000</v>
      </c>
      <c r="AD146" s="3">
        <v>26000</v>
      </c>
      <c r="AE146" s="3">
        <v>26000</v>
      </c>
      <c r="AF146" s="3">
        <v>26000</v>
      </c>
      <c r="AG146" s="3">
        <v>26000</v>
      </c>
      <c r="AH146" s="3">
        <v>26000</v>
      </c>
      <c r="AI146" s="3">
        <v>2000</v>
      </c>
      <c r="AJ146" t="s">
        <v>49</v>
      </c>
      <c r="AK146" t="s">
        <v>49</v>
      </c>
      <c r="AL146" t="s">
        <v>49</v>
      </c>
      <c r="AM146" t="s">
        <v>49</v>
      </c>
      <c r="AN146" t="s">
        <v>49</v>
      </c>
      <c r="AO146" t="s">
        <v>49</v>
      </c>
      <c r="AP146" s="3">
        <v>132000</v>
      </c>
      <c r="AQ146" t="s">
        <v>49</v>
      </c>
      <c r="AR146" t="s">
        <v>49</v>
      </c>
      <c r="AS146" t="s">
        <v>49</v>
      </c>
      <c r="AT146" t="s">
        <v>49</v>
      </c>
      <c r="AU146" s="5" t="s">
        <v>49</v>
      </c>
      <c r="AV146" t="s">
        <v>49</v>
      </c>
      <c r="AW146" t="s">
        <v>49</v>
      </c>
      <c r="AX146" t="s">
        <v>49</v>
      </c>
      <c r="AY146" t="s">
        <v>49</v>
      </c>
    </row>
    <row r="147" spans="1:51" ht="16.05" customHeight="1" x14ac:dyDescent="0.3">
      <c r="A147" s="22" t="s">
        <v>288</v>
      </c>
      <c r="B147" s="3" t="s">
        <v>100</v>
      </c>
      <c r="C147" s="15" t="s">
        <v>205</v>
      </c>
      <c r="D147" s="3" t="s">
        <v>101</v>
      </c>
      <c r="E147" s="3" t="s">
        <v>103</v>
      </c>
      <c r="F147" s="3" t="s">
        <v>102</v>
      </c>
      <c r="G147" s="5" t="s">
        <v>49</v>
      </c>
      <c r="H147" s="5" t="s">
        <v>49</v>
      </c>
      <c r="I147" t="s">
        <v>49</v>
      </c>
      <c r="J147" s="3">
        <v>130000</v>
      </c>
      <c r="K147" s="6">
        <v>45954</v>
      </c>
      <c r="L147" s="18">
        <v>45931</v>
      </c>
      <c r="M147" s="6">
        <f t="shared" si="6"/>
        <v>45946.5</v>
      </c>
      <c r="N147" t="s">
        <v>49</v>
      </c>
      <c r="O147" s="3" t="s">
        <v>239</v>
      </c>
      <c r="P147">
        <v>0.5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49</v>
      </c>
      <c r="Z147" t="s">
        <v>49</v>
      </c>
      <c r="AA147" t="s">
        <v>49</v>
      </c>
      <c r="AB147" s="3">
        <v>26000</v>
      </c>
      <c r="AC147" s="3">
        <v>26000</v>
      </c>
      <c r="AD147" s="3">
        <v>26000</v>
      </c>
      <c r="AE147" s="3">
        <v>26000</v>
      </c>
      <c r="AF147" s="3">
        <v>26000</v>
      </c>
      <c r="AG147" s="3">
        <v>26000</v>
      </c>
      <c r="AH147" s="3">
        <v>26000</v>
      </c>
      <c r="AI147" s="3">
        <v>2000</v>
      </c>
      <c r="AJ147" t="s">
        <v>49</v>
      </c>
      <c r="AK147" t="s">
        <v>49</v>
      </c>
      <c r="AL147" t="s">
        <v>49</v>
      </c>
      <c r="AM147" t="s">
        <v>49</v>
      </c>
      <c r="AN147" t="s">
        <v>49</v>
      </c>
      <c r="AO147" t="s">
        <v>49</v>
      </c>
      <c r="AP147" s="3">
        <v>132000</v>
      </c>
      <c r="AQ147" t="s">
        <v>49</v>
      </c>
      <c r="AR147" t="s">
        <v>49</v>
      </c>
      <c r="AS147" t="s">
        <v>49</v>
      </c>
      <c r="AT147" t="s">
        <v>49</v>
      </c>
      <c r="AU147" s="5" t="s">
        <v>49</v>
      </c>
      <c r="AV147" t="s">
        <v>49</v>
      </c>
      <c r="AW147" t="s">
        <v>49</v>
      </c>
      <c r="AX147" t="s">
        <v>49</v>
      </c>
      <c r="AY147" t="s">
        <v>49</v>
      </c>
    </row>
    <row r="148" spans="1:51" ht="16.05" customHeight="1" x14ac:dyDescent="0.3">
      <c r="A148" s="22" t="s">
        <v>289</v>
      </c>
      <c r="B148" s="3" t="s">
        <v>171</v>
      </c>
      <c r="C148" s="15" t="s">
        <v>205</v>
      </c>
      <c r="D148" s="3" t="s">
        <v>55</v>
      </c>
      <c r="E148" s="3" t="s">
        <v>57</v>
      </c>
      <c r="F148" s="3" t="s">
        <v>121</v>
      </c>
      <c r="G148" s="9" t="s">
        <v>135</v>
      </c>
      <c r="H148" s="9" t="s">
        <v>70</v>
      </c>
      <c r="I148" s="6">
        <v>45932</v>
      </c>
      <c r="J148" s="3">
        <v>22000</v>
      </c>
      <c r="K148" s="6">
        <v>45958</v>
      </c>
      <c r="L148" s="18">
        <v>45962</v>
      </c>
      <c r="M148" s="6">
        <f t="shared" si="6"/>
        <v>45977</v>
      </c>
      <c r="N148" s="3" t="s">
        <v>286</v>
      </c>
      <c r="O148" s="3" t="s">
        <v>239</v>
      </c>
      <c r="P148">
        <v>0.5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22000</v>
      </c>
      <c r="AB148" s="3">
        <v>0</v>
      </c>
      <c r="AC148" s="3">
        <v>22000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t="s">
        <v>49</v>
      </c>
      <c r="AR148" s="3">
        <v>22000</v>
      </c>
      <c r="AS148" t="s">
        <v>49</v>
      </c>
      <c r="AT148" t="s">
        <v>49</v>
      </c>
      <c r="AU148" s="5" t="s">
        <v>49</v>
      </c>
      <c r="AV148" t="s">
        <v>49</v>
      </c>
      <c r="AW148" t="s">
        <v>49</v>
      </c>
      <c r="AX148" t="s">
        <v>49</v>
      </c>
      <c r="AY148" t="s">
        <v>49</v>
      </c>
    </row>
    <row r="149" spans="1:51" ht="16.05" customHeight="1" x14ac:dyDescent="0.3">
      <c r="A149" s="22" t="s">
        <v>290</v>
      </c>
      <c r="B149" s="3" t="s">
        <v>100</v>
      </c>
      <c r="C149" s="15" t="s">
        <v>205</v>
      </c>
      <c r="D149" s="3" t="s">
        <v>101</v>
      </c>
      <c r="E149" s="3" t="s">
        <v>103</v>
      </c>
      <c r="F149" s="3" t="s">
        <v>102</v>
      </c>
      <c r="G149" s="5" t="s">
        <v>49</v>
      </c>
      <c r="H149" s="5" t="s">
        <v>49</v>
      </c>
      <c r="I149" t="s">
        <v>49</v>
      </c>
      <c r="J149" s="3">
        <v>70000</v>
      </c>
      <c r="K149" s="6">
        <v>45959</v>
      </c>
      <c r="L149" s="18">
        <v>45992</v>
      </c>
      <c r="M149" s="6">
        <f t="shared" si="6"/>
        <v>46007.5</v>
      </c>
      <c r="N149" s="3" t="s">
        <v>291</v>
      </c>
      <c r="O149" s="3" t="s">
        <v>239</v>
      </c>
      <c r="P149">
        <v>0.5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23333.33</v>
      </c>
      <c r="AC149" s="3">
        <v>23333.33</v>
      </c>
      <c r="AD149" s="3">
        <v>23333.33</v>
      </c>
      <c r="AE149" s="3">
        <v>23333.33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46666.66</v>
      </c>
      <c r="AQ149" t="s">
        <v>49</v>
      </c>
      <c r="AR149" s="3">
        <v>23333.33</v>
      </c>
      <c r="AS149" t="s">
        <v>49</v>
      </c>
      <c r="AT149" t="s">
        <v>49</v>
      </c>
      <c r="AU149" s="5" t="s">
        <v>49</v>
      </c>
      <c r="AV149" t="s">
        <v>49</v>
      </c>
      <c r="AW149" t="s">
        <v>49</v>
      </c>
      <c r="AX149" t="s">
        <v>49</v>
      </c>
      <c r="AY149" t="s">
        <v>49</v>
      </c>
    </row>
    <row r="150" spans="1:51" ht="16.05" customHeight="1" x14ac:dyDescent="0.3">
      <c r="A150" s="22" t="s">
        <v>292</v>
      </c>
      <c r="B150" s="3" t="s">
        <v>100</v>
      </c>
      <c r="C150" s="15" t="s">
        <v>205</v>
      </c>
      <c r="D150" s="3" t="s">
        <v>101</v>
      </c>
      <c r="E150" s="3" t="s">
        <v>103</v>
      </c>
      <c r="F150" s="3" t="s">
        <v>102</v>
      </c>
      <c r="G150" s="5" t="s">
        <v>49</v>
      </c>
      <c r="H150" s="5" t="s">
        <v>49</v>
      </c>
      <c r="I150" t="s">
        <v>49</v>
      </c>
      <c r="J150" s="3">
        <v>70000</v>
      </c>
      <c r="K150" s="6">
        <v>45959</v>
      </c>
      <c r="L150" s="18">
        <v>45992</v>
      </c>
      <c r="M150" s="6">
        <f t="shared" si="6"/>
        <v>46007.5</v>
      </c>
      <c r="N150" s="3" t="s">
        <v>291</v>
      </c>
      <c r="O150" s="3" t="s">
        <v>239</v>
      </c>
      <c r="P150">
        <v>0.5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23333.33</v>
      </c>
      <c r="AC150" s="3">
        <v>23333.33</v>
      </c>
      <c r="AD150" s="3">
        <v>23333.33</v>
      </c>
      <c r="AE150" s="3">
        <v>23333.33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46666.66</v>
      </c>
      <c r="AQ150" s="3" t="s">
        <v>245</v>
      </c>
      <c r="AR150" s="3">
        <v>23333.33</v>
      </c>
      <c r="AS150" t="s">
        <v>49</v>
      </c>
      <c r="AT150" t="s">
        <v>49</v>
      </c>
      <c r="AU150" s="5" t="s">
        <v>49</v>
      </c>
      <c r="AV150" t="s">
        <v>49</v>
      </c>
      <c r="AW150" t="s">
        <v>49</v>
      </c>
      <c r="AX150" t="s">
        <v>49</v>
      </c>
      <c r="AY150" t="s">
        <v>49</v>
      </c>
    </row>
    <row r="151" spans="1:51" ht="16.05" customHeight="1" x14ac:dyDescent="0.3">
      <c r="A151" s="22" t="s">
        <v>293</v>
      </c>
      <c r="B151" s="3" t="s">
        <v>140</v>
      </c>
      <c r="C151" s="15" t="s">
        <v>205</v>
      </c>
      <c r="D151" s="3" t="s">
        <v>101</v>
      </c>
      <c r="E151" s="3" t="s">
        <v>103</v>
      </c>
      <c r="F151" s="3" t="s">
        <v>106</v>
      </c>
      <c r="G151" s="5" t="s">
        <v>49</v>
      </c>
      <c r="H151" s="5" t="s">
        <v>49</v>
      </c>
      <c r="I151" s="6">
        <v>45971</v>
      </c>
      <c r="J151" s="3">
        <v>275000</v>
      </c>
      <c r="K151" s="6">
        <v>45981</v>
      </c>
      <c r="L151" s="18">
        <v>45962</v>
      </c>
      <c r="M151" s="6">
        <f t="shared" si="6"/>
        <v>46327</v>
      </c>
      <c r="N151" s="3" t="s">
        <v>286</v>
      </c>
      <c r="O151" s="3" t="s">
        <v>239</v>
      </c>
      <c r="P151" s="3">
        <v>12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22916.67</v>
      </c>
      <c r="AB151" s="3">
        <v>22916.67</v>
      </c>
      <c r="AC151" s="3">
        <v>45833.34</v>
      </c>
      <c r="AD151" s="3">
        <v>22916.67</v>
      </c>
      <c r="AE151" s="3">
        <v>22916.67</v>
      </c>
      <c r="AF151" s="3">
        <v>22916.67</v>
      </c>
      <c r="AG151" s="3">
        <v>22916.67</v>
      </c>
      <c r="AH151" s="3">
        <v>22916.67</v>
      </c>
      <c r="AI151" s="3">
        <v>22916.67</v>
      </c>
      <c r="AJ151" s="3">
        <v>22916.67</v>
      </c>
      <c r="AK151" s="3">
        <v>22916.67</v>
      </c>
      <c r="AL151" s="3">
        <v>22916.67</v>
      </c>
      <c r="AM151" s="3">
        <v>22916.67</v>
      </c>
      <c r="AN151" s="3">
        <v>0</v>
      </c>
      <c r="AO151" s="3">
        <v>0</v>
      </c>
      <c r="AP151" s="3">
        <v>229166.7</v>
      </c>
      <c r="AQ151" s="3" t="s">
        <v>258</v>
      </c>
      <c r="AR151" t="s">
        <v>49</v>
      </c>
      <c r="AS151" t="s">
        <v>49</v>
      </c>
      <c r="AT151" t="s">
        <v>49</v>
      </c>
      <c r="AU151" s="5" t="s">
        <v>49</v>
      </c>
      <c r="AV151" t="s">
        <v>49</v>
      </c>
      <c r="AW151" t="s">
        <v>49</v>
      </c>
      <c r="AX151" t="s">
        <v>49</v>
      </c>
      <c r="AY151" t="s">
        <v>49</v>
      </c>
    </row>
    <row r="152" spans="1:51" ht="16.05" customHeight="1" x14ac:dyDescent="0.3">
      <c r="A152" s="22" t="s">
        <v>294</v>
      </c>
      <c r="B152" s="3" t="s">
        <v>203</v>
      </c>
      <c r="C152" s="15" t="s">
        <v>205</v>
      </c>
      <c r="D152" s="3" t="s">
        <v>55</v>
      </c>
      <c r="E152" s="3" t="s">
        <v>57</v>
      </c>
      <c r="F152" s="3" t="s">
        <v>295</v>
      </c>
      <c r="G152" s="8" t="s">
        <v>471</v>
      </c>
      <c r="H152" s="10" t="s">
        <v>133</v>
      </c>
      <c r="I152" s="6">
        <v>45978</v>
      </c>
      <c r="J152" s="3">
        <v>15000</v>
      </c>
      <c r="K152" s="6">
        <v>45988</v>
      </c>
      <c r="L152" s="18">
        <v>45962</v>
      </c>
      <c r="M152" s="6">
        <f t="shared" si="6"/>
        <v>45977</v>
      </c>
      <c r="N152" s="3" t="s">
        <v>286</v>
      </c>
      <c r="O152" s="3" t="s">
        <v>239</v>
      </c>
      <c r="P152">
        <v>0.5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6000</v>
      </c>
      <c r="AB152" s="3">
        <v>6000</v>
      </c>
      <c r="AC152" s="3">
        <v>12000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t="s">
        <v>49</v>
      </c>
      <c r="AR152" s="3">
        <v>6000</v>
      </c>
      <c r="AS152" t="s">
        <v>49</v>
      </c>
      <c r="AT152" t="s">
        <v>49</v>
      </c>
      <c r="AU152" s="5" t="s">
        <v>49</v>
      </c>
      <c r="AV152" t="s">
        <v>49</v>
      </c>
      <c r="AW152" t="s">
        <v>49</v>
      </c>
      <c r="AX152" t="s">
        <v>49</v>
      </c>
      <c r="AY152" t="s">
        <v>49</v>
      </c>
    </row>
    <row r="153" spans="1:51" ht="16.05" customHeight="1" x14ac:dyDescent="0.3">
      <c r="A153" s="22" t="s">
        <v>296</v>
      </c>
      <c r="B153" s="3" t="s">
        <v>297</v>
      </c>
      <c r="C153" s="15" t="s">
        <v>205</v>
      </c>
      <c r="D153" s="3" t="s">
        <v>55</v>
      </c>
      <c r="E153" s="3" t="s">
        <v>57</v>
      </c>
      <c r="F153" s="3" t="s">
        <v>121</v>
      </c>
      <c r="G153" s="8" t="s">
        <v>471</v>
      </c>
      <c r="H153" s="9" t="s">
        <v>70</v>
      </c>
      <c r="I153" s="6">
        <v>45987</v>
      </c>
      <c r="J153" s="3">
        <v>10000</v>
      </c>
      <c r="K153" s="6">
        <v>45995</v>
      </c>
      <c r="L153" s="18">
        <v>45992</v>
      </c>
      <c r="M153" s="6">
        <f t="shared" si="6"/>
        <v>46023</v>
      </c>
      <c r="N153" s="3" t="s">
        <v>291</v>
      </c>
      <c r="O153" s="3" t="s">
        <v>239</v>
      </c>
      <c r="P153" s="3">
        <v>1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10000</v>
      </c>
      <c r="AC153" s="3">
        <v>10000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t="s">
        <v>49</v>
      </c>
      <c r="AR153" t="s">
        <v>49</v>
      </c>
      <c r="AS153" t="s">
        <v>49</v>
      </c>
      <c r="AT153" t="s">
        <v>49</v>
      </c>
      <c r="AU153" s="5" t="s">
        <v>49</v>
      </c>
      <c r="AV153" t="s">
        <v>49</v>
      </c>
      <c r="AW153" t="s">
        <v>49</v>
      </c>
      <c r="AX153" t="s">
        <v>49</v>
      </c>
      <c r="AY153" t="s">
        <v>49</v>
      </c>
    </row>
    <row r="154" spans="1:51" ht="16.05" customHeight="1" x14ac:dyDescent="0.3">
      <c r="A154" s="22" t="s">
        <v>298</v>
      </c>
      <c r="B154" s="3" t="s">
        <v>203</v>
      </c>
      <c r="C154" s="15" t="s">
        <v>205</v>
      </c>
      <c r="D154" s="3" t="s">
        <v>55</v>
      </c>
      <c r="E154" s="3" t="s">
        <v>57</v>
      </c>
      <c r="F154" s="3" t="s">
        <v>295</v>
      </c>
      <c r="G154" s="8" t="s">
        <v>471</v>
      </c>
      <c r="H154" s="10" t="s">
        <v>133</v>
      </c>
      <c r="I154" s="6">
        <v>45978</v>
      </c>
      <c r="J154" s="3">
        <v>297000</v>
      </c>
      <c r="K154" s="6">
        <v>46000</v>
      </c>
      <c r="L154" s="18">
        <v>46054</v>
      </c>
      <c r="M154" s="6">
        <f t="shared" si="6"/>
        <v>46419</v>
      </c>
      <c r="N154" s="3" t="s">
        <v>299</v>
      </c>
      <c r="O154" s="3" t="s">
        <v>164</v>
      </c>
      <c r="P154" s="3">
        <v>12</v>
      </c>
      <c r="Q154" s="3">
        <v>0</v>
      </c>
      <c r="R154" s="3">
        <v>24750</v>
      </c>
      <c r="S154" s="3">
        <v>24750</v>
      </c>
      <c r="T154" s="3">
        <v>24750</v>
      </c>
      <c r="U154" s="3">
        <v>24750</v>
      </c>
      <c r="V154" s="3">
        <v>24750</v>
      </c>
      <c r="W154" s="3">
        <v>24750</v>
      </c>
      <c r="X154" s="3">
        <v>24750</v>
      </c>
      <c r="Y154" s="3">
        <v>24750</v>
      </c>
      <c r="Z154" s="3">
        <v>24750</v>
      </c>
      <c r="AA154" s="3">
        <v>24750</v>
      </c>
      <c r="AB154" s="3">
        <v>24750</v>
      </c>
      <c r="AC154" s="3">
        <v>272250</v>
      </c>
      <c r="AD154" s="3">
        <v>24750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24750</v>
      </c>
      <c r="AQ154" t="s">
        <v>49</v>
      </c>
      <c r="AR154" s="3">
        <v>19800</v>
      </c>
      <c r="AS154" t="s">
        <v>49</v>
      </c>
      <c r="AT154" t="s">
        <v>49</v>
      </c>
      <c r="AU154" s="5" t="s">
        <v>49</v>
      </c>
      <c r="AV154" t="s">
        <v>49</v>
      </c>
      <c r="AW154" t="s">
        <v>49</v>
      </c>
      <c r="AX154" t="s">
        <v>49</v>
      </c>
      <c r="AY154" t="s">
        <v>49</v>
      </c>
    </row>
    <row r="155" spans="1:51" ht="16.05" customHeight="1" x14ac:dyDescent="0.3">
      <c r="A155" s="22" t="s">
        <v>300</v>
      </c>
      <c r="B155" s="3" t="s">
        <v>152</v>
      </c>
      <c r="C155" s="15" t="s">
        <v>205</v>
      </c>
      <c r="D155" s="3" t="s">
        <v>101</v>
      </c>
      <c r="E155" s="3" t="s">
        <v>103</v>
      </c>
      <c r="F155" s="3" t="s">
        <v>106</v>
      </c>
      <c r="G155" s="8" t="s">
        <v>471</v>
      </c>
      <c r="H155" s="9" t="s">
        <v>70</v>
      </c>
      <c r="I155" s="6">
        <v>45951</v>
      </c>
      <c r="J155" s="3">
        <v>88000</v>
      </c>
      <c r="K155" s="6">
        <v>46021</v>
      </c>
      <c r="L155" s="18">
        <v>46023</v>
      </c>
      <c r="M155" s="6">
        <f t="shared" si="6"/>
        <v>46113</v>
      </c>
      <c r="N155" s="3" t="s">
        <v>172</v>
      </c>
      <c r="O155" s="3" t="s">
        <v>164</v>
      </c>
      <c r="P155" s="3">
        <v>3</v>
      </c>
      <c r="Q155" s="3">
        <v>29333.33</v>
      </c>
      <c r="R155" s="3">
        <v>29333.33</v>
      </c>
      <c r="S155" s="3">
        <v>29333.33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87999.99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t="s">
        <v>49</v>
      </c>
      <c r="AR155" t="s">
        <v>49</v>
      </c>
      <c r="AS155" t="s">
        <v>49</v>
      </c>
      <c r="AT155" t="s">
        <v>49</v>
      </c>
      <c r="AU155" s="5" t="s">
        <v>49</v>
      </c>
      <c r="AV155" t="s">
        <v>49</v>
      </c>
      <c r="AW155" t="s">
        <v>49</v>
      </c>
      <c r="AX155" t="s">
        <v>49</v>
      </c>
      <c r="AY155" t="s">
        <v>49</v>
      </c>
    </row>
    <row r="156" spans="1:51" ht="16.05" customHeight="1" x14ac:dyDescent="0.3">
      <c r="A156" s="22" t="s">
        <v>301</v>
      </c>
      <c r="B156" s="3" t="s">
        <v>302</v>
      </c>
      <c r="C156" s="15" t="s">
        <v>205</v>
      </c>
      <c r="D156" s="3" t="s">
        <v>55</v>
      </c>
      <c r="E156" s="3" t="s">
        <v>57</v>
      </c>
      <c r="F156" s="3" t="s">
        <v>94</v>
      </c>
      <c r="G156" s="8" t="s">
        <v>471</v>
      </c>
      <c r="H156" s="10" t="s">
        <v>133</v>
      </c>
      <c r="I156" s="6">
        <v>45958</v>
      </c>
      <c r="J156" s="3">
        <v>210000</v>
      </c>
      <c r="K156" s="6">
        <v>46022</v>
      </c>
      <c r="L156" s="18">
        <v>46023</v>
      </c>
      <c r="M156" s="6">
        <f t="shared" si="6"/>
        <v>46082</v>
      </c>
      <c r="N156" s="3" t="s">
        <v>172</v>
      </c>
      <c r="O156" s="3" t="s">
        <v>164</v>
      </c>
      <c r="P156" s="3">
        <v>2</v>
      </c>
      <c r="Q156" s="3">
        <v>105000</v>
      </c>
      <c r="R156" s="3">
        <v>105000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210000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t="s">
        <v>49</v>
      </c>
      <c r="AR156" t="s">
        <v>49</v>
      </c>
      <c r="AS156" t="s">
        <v>49</v>
      </c>
      <c r="AT156" t="s">
        <v>49</v>
      </c>
      <c r="AU156" s="5" t="s">
        <v>49</v>
      </c>
      <c r="AV156" t="s">
        <v>49</v>
      </c>
      <c r="AW156" t="s">
        <v>49</v>
      </c>
      <c r="AX156" t="s">
        <v>49</v>
      </c>
      <c r="AY156" t="s">
        <v>49</v>
      </c>
    </row>
    <row r="157" spans="1:51" ht="16.05" customHeight="1" x14ac:dyDescent="0.3">
      <c r="A157" s="22" t="s">
        <v>303</v>
      </c>
      <c r="B157" s="3" t="s">
        <v>304</v>
      </c>
      <c r="C157" s="15" t="s">
        <v>205</v>
      </c>
      <c r="D157" s="3" t="s">
        <v>67</v>
      </c>
      <c r="E157" s="3" t="s">
        <v>57</v>
      </c>
      <c r="F157" s="3" t="s">
        <v>91</v>
      </c>
      <c r="G157" s="10" t="s">
        <v>132</v>
      </c>
      <c r="H157" s="10" t="s">
        <v>133</v>
      </c>
      <c r="I157" s="6">
        <v>45978</v>
      </c>
      <c r="J157" s="3">
        <v>54200</v>
      </c>
      <c r="K157" s="6">
        <v>46031</v>
      </c>
      <c r="L157" s="18">
        <v>46082</v>
      </c>
      <c r="M157" s="6">
        <f t="shared" si="6"/>
        <v>46266</v>
      </c>
      <c r="N157" s="3" t="s">
        <v>204</v>
      </c>
      <c r="O157" s="3" t="s">
        <v>164</v>
      </c>
      <c r="P157" s="3">
        <v>6</v>
      </c>
      <c r="Q157" s="3">
        <v>0</v>
      </c>
      <c r="R157" s="3">
        <v>0</v>
      </c>
      <c r="S157" s="3">
        <v>9033.33</v>
      </c>
      <c r="T157" s="3">
        <v>9033.33</v>
      </c>
      <c r="U157" s="3">
        <v>9033.33</v>
      </c>
      <c r="V157" s="3">
        <v>9033.33</v>
      </c>
      <c r="W157" s="3">
        <v>9033.33</v>
      </c>
      <c r="X157" s="3">
        <v>9033.33</v>
      </c>
      <c r="Y157" s="3">
        <v>0</v>
      </c>
      <c r="Z157" s="3">
        <v>0</v>
      </c>
      <c r="AA157" s="3">
        <v>0</v>
      </c>
      <c r="AB157" s="3">
        <v>0</v>
      </c>
      <c r="AC157" s="3">
        <v>54199.98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t="s">
        <v>49</v>
      </c>
      <c r="AR157" t="s">
        <v>49</v>
      </c>
      <c r="AS157" t="s">
        <v>49</v>
      </c>
      <c r="AT157" t="s">
        <v>49</v>
      </c>
      <c r="AU157" s="5" t="s">
        <v>49</v>
      </c>
      <c r="AV157" t="s">
        <v>49</v>
      </c>
      <c r="AW157" t="s">
        <v>49</v>
      </c>
      <c r="AX157" t="s">
        <v>49</v>
      </c>
      <c r="AY157" t="s">
        <v>49</v>
      </c>
    </row>
    <row r="158" spans="1:51" ht="16.05" customHeight="1" x14ac:dyDescent="0.3">
      <c r="A158" s="22" t="s">
        <v>305</v>
      </c>
      <c r="B158" s="3" t="s">
        <v>140</v>
      </c>
      <c r="C158" s="15" t="s">
        <v>205</v>
      </c>
      <c r="D158" s="3" t="s">
        <v>101</v>
      </c>
      <c r="E158" s="3" t="s">
        <v>103</v>
      </c>
      <c r="F158" s="3" t="s">
        <v>106</v>
      </c>
      <c r="G158" s="9" t="s">
        <v>135</v>
      </c>
      <c r="H158" s="10" t="s">
        <v>133</v>
      </c>
      <c r="I158" s="6">
        <v>45904</v>
      </c>
      <c r="J158" s="3">
        <v>352000</v>
      </c>
      <c r="K158" s="6">
        <v>46031</v>
      </c>
      <c r="L158" s="18">
        <v>46023</v>
      </c>
      <c r="M158" s="6">
        <f t="shared" si="6"/>
        <v>46388</v>
      </c>
      <c r="N158" s="3" t="s">
        <v>172</v>
      </c>
      <c r="O158" s="3" t="s">
        <v>164</v>
      </c>
      <c r="P158" s="3">
        <v>12</v>
      </c>
      <c r="Q158" s="3">
        <v>29333.33</v>
      </c>
      <c r="R158" s="3">
        <v>29333.33</v>
      </c>
      <c r="S158" s="3">
        <v>29333.33</v>
      </c>
      <c r="T158" s="3">
        <v>29333.33</v>
      </c>
      <c r="U158" s="3">
        <v>29333.33</v>
      </c>
      <c r="V158" s="3">
        <v>29333.33</v>
      </c>
      <c r="W158" s="3">
        <v>29333.33</v>
      </c>
      <c r="X158" s="3">
        <v>29333.33</v>
      </c>
      <c r="Y158" s="3">
        <v>29333.33</v>
      </c>
      <c r="Z158" s="3">
        <v>29333.33</v>
      </c>
      <c r="AA158" s="3">
        <v>29333.33</v>
      </c>
      <c r="AB158" s="3">
        <v>29333.33</v>
      </c>
      <c r="AC158" s="3">
        <v>351999.96000000008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t="s">
        <v>49</v>
      </c>
      <c r="AR158" t="s">
        <v>49</v>
      </c>
      <c r="AS158" t="s">
        <v>49</v>
      </c>
      <c r="AT158" t="s">
        <v>49</v>
      </c>
      <c r="AU158" s="5" t="s">
        <v>49</v>
      </c>
      <c r="AV158" t="s">
        <v>49</v>
      </c>
      <c r="AW158" t="s">
        <v>49</v>
      </c>
      <c r="AX158" t="s">
        <v>49</v>
      </c>
      <c r="AY158" t="s">
        <v>49</v>
      </c>
    </row>
    <row r="159" spans="1:51" ht="16.05" customHeight="1" x14ac:dyDescent="0.3">
      <c r="A159" s="22" t="s">
        <v>306</v>
      </c>
      <c r="B159" s="3" t="s">
        <v>180</v>
      </c>
      <c r="C159" s="15" t="s">
        <v>205</v>
      </c>
      <c r="D159" s="3" t="s">
        <v>101</v>
      </c>
      <c r="E159" s="3" t="s">
        <v>103</v>
      </c>
      <c r="F159" s="3" t="s">
        <v>106</v>
      </c>
      <c r="G159" s="9" t="s">
        <v>135</v>
      </c>
      <c r="H159" s="10" t="s">
        <v>133</v>
      </c>
      <c r="I159" s="6">
        <v>46030</v>
      </c>
      <c r="J159" s="3">
        <v>130000</v>
      </c>
      <c r="K159" s="6">
        <v>46041</v>
      </c>
      <c r="L159" s="18">
        <v>46023</v>
      </c>
      <c r="M159" s="6">
        <f t="shared" si="6"/>
        <v>46174</v>
      </c>
      <c r="N159" s="3" t="s">
        <v>172</v>
      </c>
      <c r="O159" s="3" t="s">
        <v>164</v>
      </c>
      <c r="P159" s="3">
        <v>5</v>
      </c>
      <c r="Q159" s="3">
        <v>26000</v>
      </c>
      <c r="R159" s="3">
        <v>26000</v>
      </c>
      <c r="S159" s="3">
        <v>26000</v>
      </c>
      <c r="T159" s="3">
        <v>26000</v>
      </c>
      <c r="U159" s="3">
        <v>26000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130000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t="s">
        <v>49</v>
      </c>
      <c r="AR159" t="s">
        <v>49</v>
      </c>
      <c r="AS159" t="s">
        <v>49</v>
      </c>
      <c r="AT159" t="s">
        <v>49</v>
      </c>
      <c r="AU159" s="5" t="s">
        <v>49</v>
      </c>
      <c r="AV159" t="s">
        <v>49</v>
      </c>
      <c r="AW159" t="s">
        <v>49</v>
      </c>
      <c r="AX159" t="s">
        <v>49</v>
      </c>
      <c r="AY159" t="s">
        <v>49</v>
      </c>
    </row>
    <row r="160" spans="1:51" ht="16.05" customHeight="1" x14ac:dyDescent="0.3">
      <c r="A160" s="22" t="s">
        <v>307</v>
      </c>
      <c r="B160" s="3" t="s">
        <v>100</v>
      </c>
      <c r="C160" s="15" t="s">
        <v>205</v>
      </c>
      <c r="D160" s="3" t="s">
        <v>101</v>
      </c>
      <c r="E160" s="3" t="s">
        <v>103</v>
      </c>
      <c r="F160" s="3" t="s">
        <v>102</v>
      </c>
      <c r="G160" s="5" t="s">
        <v>49</v>
      </c>
      <c r="H160" s="5" t="s">
        <v>49</v>
      </c>
      <c r="I160" s="6">
        <v>45749</v>
      </c>
      <c r="J160" s="3">
        <v>115000</v>
      </c>
      <c r="K160" s="6">
        <v>46042</v>
      </c>
      <c r="L160" s="18">
        <v>46023</v>
      </c>
      <c r="M160" s="6">
        <f t="shared" si="6"/>
        <v>46038.5</v>
      </c>
      <c r="N160" t="s">
        <v>49</v>
      </c>
      <c r="O160" t="s">
        <v>49</v>
      </c>
      <c r="P160">
        <v>0.5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s="3">
        <v>0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49</v>
      </c>
      <c r="AM160" t="s">
        <v>49</v>
      </c>
      <c r="AN160" t="s">
        <v>49</v>
      </c>
      <c r="AO160" t="s">
        <v>49</v>
      </c>
      <c r="AP160" s="3">
        <v>0</v>
      </c>
      <c r="AQ160" t="s">
        <v>49</v>
      </c>
      <c r="AR160" t="s">
        <v>49</v>
      </c>
      <c r="AS160" s="6">
        <v>46059</v>
      </c>
      <c r="AT160" s="6">
        <v>46217</v>
      </c>
      <c r="AU160" s="5" t="s">
        <v>49</v>
      </c>
      <c r="AV160" t="s">
        <v>49</v>
      </c>
      <c r="AW160" t="s">
        <v>49</v>
      </c>
      <c r="AX160" t="s">
        <v>49</v>
      </c>
      <c r="AY160" t="s">
        <v>49</v>
      </c>
    </row>
    <row r="161" spans="1:51" ht="16.05" customHeight="1" x14ac:dyDescent="0.3">
      <c r="A161" s="22" t="s">
        <v>308</v>
      </c>
      <c r="B161" s="3" t="s">
        <v>137</v>
      </c>
      <c r="C161" s="15" t="s">
        <v>205</v>
      </c>
      <c r="D161" s="3" t="s">
        <v>101</v>
      </c>
      <c r="E161" s="3" t="s">
        <v>103</v>
      </c>
      <c r="F161" s="3" t="s">
        <v>106</v>
      </c>
      <c r="G161" s="9" t="s">
        <v>135</v>
      </c>
      <c r="H161" s="10" t="s">
        <v>133</v>
      </c>
      <c r="I161" s="6">
        <v>46030</v>
      </c>
      <c r="J161" s="3">
        <v>65000</v>
      </c>
      <c r="K161" s="6">
        <v>46045</v>
      </c>
      <c r="L161" s="18">
        <v>46023</v>
      </c>
      <c r="M161" s="6">
        <f t="shared" si="6"/>
        <v>46174</v>
      </c>
      <c r="N161" s="3" t="s">
        <v>172</v>
      </c>
      <c r="O161" s="3" t="s">
        <v>164</v>
      </c>
      <c r="P161" s="3">
        <v>5</v>
      </c>
      <c r="Q161" s="3">
        <v>13000</v>
      </c>
      <c r="R161" s="3">
        <v>13000</v>
      </c>
      <c r="S161" s="3">
        <v>13000</v>
      </c>
      <c r="T161" s="3">
        <v>13000</v>
      </c>
      <c r="U161" s="3">
        <v>13000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65000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t="s">
        <v>49</v>
      </c>
      <c r="AR161" t="s">
        <v>49</v>
      </c>
      <c r="AS161" t="s">
        <v>49</v>
      </c>
      <c r="AT161" t="s">
        <v>49</v>
      </c>
      <c r="AU161" s="5" t="s">
        <v>49</v>
      </c>
      <c r="AV161" t="s">
        <v>49</v>
      </c>
      <c r="AW161" t="s">
        <v>49</v>
      </c>
      <c r="AX161" t="s">
        <v>49</v>
      </c>
      <c r="AY161" t="s">
        <v>49</v>
      </c>
    </row>
    <row r="162" spans="1:51" ht="16.05" customHeight="1" x14ac:dyDescent="0.3">
      <c r="A162" s="22" t="s">
        <v>309</v>
      </c>
      <c r="B162" s="3" t="s">
        <v>302</v>
      </c>
      <c r="C162" s="15" t="s">
        <v>205</v>
      </c>
      <c r="D162" s="3" t="s">
        <v>55</v>
      </c>
      <c r="E162" s="3" t="s">
        <v>57</v>
      </c>
      <c r="F162" s="3" t="s">
        <v>295</v>
      </c>
      <c r="G162" s="5" t="s">
        <v>49</v>
      </c>
      <c r="H162" s="5" t="s">
        <v>49</v>
      </c>
      <c r="I162" s="6">
        <v>46086</v>
      </c>
      <c r="J162" s="3">
        <v>118750</v>
      </c>
      <c r="K162" s="6">
        <v>46087</v>
      </c>
      <c r="L162" s="18">
        <v>46082</v>
      </c>
      <c r="M162" s="6">
        <f t="shared" si="6"/>
        <v>46113</v>
      </c>
      <c r="N162" s="3" t="s">
        <v>204</v>
      </c>
      <c r="O162" s="3" t="s">
        <v>164</v>
      </c>
      <c r="P162" s="3">
        <v>1</v>
      </c>
      <c r="Q162" s="3">
        <v>0</v>
      </c>
      <c r="R162" s="3">
        <v>0</v>
      </c>
      <c r="S162" s="3">
        <v>118750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118750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t="s">
        <v>49</v>
      </c>
      <c r="AR162" t="s">
        <v>49</v>
      </c>
      <c r="AS162" t="s">
        <v>49</v>
      </c>
      <c r="AT162" t="s">
        <v>49</v>
      </c>
      <c r="AU162" s="5" t="s">
        <v>49</v>
      </c>
      <c r="AV162" t="s">
        <v>49</v>
      </c>
      <c r="AW162" t="s">
        <v>49</v>
      </c>
      <c r="AX162" t="s">
        <v>49</v>
      </c>
      <c r="AY162" t="s">
        <v>49</v>
      </c>
    </row>
    <row r="163" spans="1:51" ht="16.05" customHeight="1" x14ac:dyDescent="0.3">
      <c r="A163" s="22" t="s">
        <v>310</v>
      </c>
      <c r="B163" s="3" t="s">
        <v>227</v>
      </c>
      <c r="C163" s="15" t="s">
        <v>205</v>
      </c>
      <c r="D163" s="3" t="s">
        <v>55</v>
      </c>
      <c r="E163" s="3" t="s">
        <v>57</v>
      </c>
      <c r="F163" s="3" t="s">
        <v>56</v>
      </c>
      <c r="G163" s="11" t="s">
        <v>141</v>
      </c>
      <c r="H163" s="9" t="s">
        <v>70</v>
      </c>
      <c r="I163" s="6">
        <v>46100</v>
      </c>
      <c r="J163" s="3">
        <v>12000</v>
      </c>
      <c r="K163" s="6">
        <v>46101</v>
      </c>
      <c r="L163" s="18">
        <v>46082</v>
      </c>
      <c r="M163" s="6">
        <f t="shared" si="6"/>
        <v>46174</v>
      </c>
      <c r="N163" s="3" t="s">
        <v>204</v>
      </c>
      <c r="O163" s="3" t="s">
        <v>164</v>
      </c>
      <c r="P163" s="3">
        <v>3</v>
      </c>
      <c r="Q163" s="3">
        <v>0</v>
      </c>
      <c r="R163" s="3">
        <v>0</v>
      </c>
      <c r="S163" s="3">
        <v>4000</v>
      </c>
      <c r="T163" s="3">
        <v>4000</v>
      </c>
      <c r="U163" s="3">
        <v>4000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12000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t="s">
        <v>49</v>
      </c>
      <c r="AR163" s="3">
        <v>4000</v>
      </c>
      <c r="AS163" t="s">
        <v>49</v>
      </c>
      <c r="AT163" t="s">
        <v>49</v>
      </c>
      <c r="AU163" s="5" t="s">
        <v>49</v>
      </c>
      <c r="AV163" t="s">
        <v>49</v>
      </c>
      <c r="AW163" t="s">
        <v>49</v>
      </c>
      <c r="AX163" t="s">
        <v>49</v>
      </c>
      <c r="AY163" t="s">
        <v>49</v>
      </c>
    </row>
    <row r="164" spans="1:51" ht="16.05" customHeight="1" x14ac:dyDescent="0.3">
      <c r="A164" s="22" t="s">
        <v>311</v>
      </c>
      <c r="B164" s="3" t="s">
        <v>302</v>
      </c>
      <c r="C164" s="15" t="s">
        <v>205</v>
      </c>
      <c r="D164" s="3" t="s">
        <v>55</v>
      </c>
      <c r="E164" s="3" t="s">
        <v>57</v>
      </c>
      <c r="F164" s="3" t="s">
        <v>295</v>
      </c>
      <c r="G164" s="10" t="s">
        <v>132</v>
      </c>
      <c r="H164" s="9" t="s">
        <v>70</v>
      </c>
      <c r="I164" s="6">
        <v>46097</v>
      </c>
      <c r="J164" s="3">
        <v>210000</v>
      </c>
      <c r="K164" s="6">
        <v>46105</v>
      </c>
      <c r="L164" s="18">
        <v>46113</v>
      </c>
      <c r="M164" s="6">
        <f t="shared" si="6"/>
        <v>46174</v>
      </c>
      <c r="N164" s="3" t="s">
        <v>95</v>
      </c>
      <c r="O164" s="3" t="s">
        <v>164</v>
      </c>
      <c r="P164" s="3">
        <v>2</v>
      </c>
      <c r="Q164" s="3">
        <v>0</v>
      </c>
      <c r="R164" s="3">
        <v>0</v>
      </c>
      <c r="S164" s="3">
        <v>0</v>
      </c>
      <c r="T164" s="3">
        <v>105000</v>
      </c>
      <c r="U164" s="3">
        <v>105000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210000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t="s">
        <v>49</v>
      </c>
      <c r="AR164" t="s">
        <v>49</v>
      </c>
      <c r="AS164" t="s">
        <v>49</v>
      </c>
      <c r="AT164" t="s">
        <v>49</v>
      </c>
      <c r="AU164" s="5" t="s">
        <v>49</v>
      </c>
      <c r="AV164" t="s">
        <v>49</v>
      </c>
      <c r="AW164" t="s">
        <v>49</v>
      </c>
      <c r="AX164" t="s">
        <v>49</v>
      </c>
      <c r="AY164" t="s">
        <v>49</v>
      </c>
    </row>
    <row r="165" spans="1:51" ht="16.05" customHeight="1" x14ac:dyDescent="0.3">
      <c r="A165" s="22" t="s">
        <v>312</v>
      </c>
      <c r="B165" s="3" t="s">
        <v>203</v>
      </c>
      <c r="C165" s="15" t="s">
        <v>205</v>
      </c>
      <c r="D165" s="3" t="s">
        <v>55</v>
      </c>
      <c r="E165" s="3" t="s">
        <v>57</v>
      </c>
      <c r="F165" s="3" t="s">
        <v>295</v>
      </c>
      <c r="G165" s="11" t="s">
        <v>141</v>
      </c>
      <c r="H165" s="10" t="s">
        <v>133</v>
      </c>
      <c r="I165" s="6">
        <v>46086</v>
      </c>
      <c r="J165" s="3">
        <v>36500</v>
      </c>
      <c r="K165" s="6">
        <v>46107</v>
      </c>
      <c r="L165" s="18">
        <v>46113</v>
      </c>
      <c r="M165" s="6">
        <f t="shared" si="6"/>
        <v>46204</v>
      </c>
      <c r="N165" s="3" t="s">
        <v>95</v>
      </c>
      <c r="O165" s="3" t="s">
        <v>164</v>
      </c>
      <c r="P165" s="3">
        <v>3</v>
      </c>
      <c r="Q165" s="3">
        <v>0</v>
      </c>
      <c r="R165" s="3">
        <v>0</v>
      </c>
      <c r="S165" s="3">
        <v>0</v>
      </c>
      <c r="T165" s="3">
        <v>12166.67</v>
      </c>
      <c r="U165" s="3">
        <v>12166.67</v>
      </c>
      <c r="V165" s="3">
        <v>12166.67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36500.01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t="s">
        <v>49</v>
      </c>
      <c r="AR165" t="s">
        <v>49</v>
      </c>
      <c r="AS165" t="s">
        <v>49</v>
      </c>
      <c r="AT165" t="s">
        <v>49</v>
      </c>
      <c r="AU165" s="5" t="s">
        <v>49</v>
      </c>
      <c r="AV165" t="s">
        <v>49</v>
      </c>
      <c r="AW165" t="s">
        <v>49</v>
      </c>
      <c r="AX165" t="s">
        <v>49</v>
      </c>
      <c r="AY165" t="s">
        <v>49</v>
      </c>
    </row>
    <row r="166" spans="1:51" ht="16.05" customHeight="1" x14ac:dyDescent="0.3">
      <c r="A166" s="22" t="s">
        <v>313</v>
      </c>
      <c r="B166" s="3" t="s">
        <v>140</v>
      </c>
      <c r="C166" s="15" t="s">
        <v>205</v>
      </c>
      <c r="D166" s="3" t="s">
        <v>101</v>
      </c>
      <c r="E166" s="3" t="s">
        <v>103</v>
      </c>
      <c r="F166" s="3" t="s">
        <v>106</v>
      </c>
      <c r="G166" s="11" t="s">
        <v>141</v>
      </c>
      <c r="H166" s="9" t="s">
        <v>70</v>
      </c>
      <c r="I166" s="6">
        <v>46109</v>
      </c>
      <c r="J166" s="3">
        <v>99000</v>
      </c>
      <c r="K166" s="6">
        <v>46110</v>
      </c>
      <c r="L166" s="18">
        <v>46082</v>
      </c>
      <c r="M166" s="6">
        <f t="shared" si="6"/>
        <v>46174</v>
      </c>
      <c r="N166" s="3" t="s">
        <v>204</v>
      </c>
      <c r="O166" s="3" t="s">
        <v>164</v>
      </c>
      <c r="P166" s="3">
        <v>3</v>
      </c>
      <c r="Q166" s="3">
        <v>0</v>
      </c>
      <c r="R166" s="3">
        <v>0</v>
      </c>
      <c r="S166" s="3">
        <v>33000</v>
      </c>
      <c r="T166" s="3">
        <v>33000</v>
      </c>
      <c r="U166" s="3">
        <v>33000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99000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t="s">
        <v>49</v>
      </c>
      <c r="AR166" t="s">
        <v>49</v>
      </c>
      <c r="AS166" t="s">
        <v>49</v>
      </c>
      <c r="AT166" t="s">
        <v>49</v>
      </c>
      <c r="AU166" s="5" t="s">
        <v>49</v>
      </c>
      <c r="AV166" t="s">
        <v>49</v>
      </c>
      <c r="AW166" t="s">
        <v>49</v>
      </c>
      <c r="AX166" t="s">
        <v>49</v>
      </c>
      <c r="AY166" t="s">
        <v>49</v>
      </c>
    </row>
    <row r="167" spans="1:51" ht="16.05" customHeight="1" x14ac:dyDescent="0.3">
      <c r="A167" s="22" t="s">
        <v>314</v>
      </c>
      <c r="B167" s="3" t="s">
        <v>302</v>
      </c>
      <c r="C167" s="15" t="s">
        <v>205</v>
      </c>
      <c r="D167" s="3" t="s">
        <v>55</v>
      </c>
      <c r="E167" s="3" t="s">
        <v>57</v>
      </c>
      <c r="F167" s="3" t="s">
        <v>94</v>
      </c>
      <c r="G167" s="10" t="s">
        <v>132</v>
      </c>
      <c r="H167" s="10" t="s">
        <v>133</v>
      </c>
      <c r="I167" s="6">
        <v>46097</v>
      </c>
      <c r="J167" s="3">
        <v>528000</v>
      </c>
      <c r="K167" s="6">
        <v>46111</v>
      </c>
      <c r="L167" s="18">
        <v>46113</v>
      </c>
      <c r="M167" s="6">
        <f t="shared" si="6"/>
        <v>46478</v>
      </c>
      <c r="N167" s="3" t="s">
        <v>95</v>
      </c>
      <c r="O167" s="3" t="s">
        <v>164</v>
      </c>
      <c r="P167" s="3">
        <v>12</v>
      </c>
      <c r="Q167" s="3">
        <v>0</v>
      </c>
      <c r="R167" s="3">
        <v>0</v>
      </c>
      <c r="S167" s="3">
        <v>0</v>
      </c>
      <c r="T167" s="3">
        <v>44000</v>
      </c>
      <c r="U167" s="3">
        <v>44000</v>
      </c>
      <c r="V167" s="3">
        <v>44000</v>
      </c>
      <c r="W167" s="3">
        <v>44000</v>
      </c>
      <c r="X167" s="3">
        <v>44000</v>
      </c>
      <c r="Y167" s="3">
        <v>44000</v>
      </c>
      <c r="Z167" s="3">
        <v>44000</v>
      </c>
      <c r="AA167" s="3">
        <v>44000</v>
      </c>
      <c r="AB167" s="3">
        <v>44000</v>
      </c>
      <c r="AC167" s="3">
        <v>396000</v>
      </c>
      <c r="AD167" s="3">
        <v>44000</v>
      </c>
      <c r="AE167" s="3">
        <v>44000</v>
      </c>
      <c r="AF167" s="3">
        <v>44000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132000</v>
      </c>
      <c r="AQ167" t="s">
        <v>49</v>
      </c>
      <c r="AR167" t="s">
        <v>49</v>
      </c>
      <c r="AS167" t="s">
        <v>49</v>
      </c>
      <c r="AT167" t="s">
        <v>49</v>
      </c>
      <c r="AU167" s="5" t="s">
        <v>49</v>
      </c>
      <c r="AV167" t="s">
        <v>49</v>
      </c>
      <c r="AW167" t="s">
        <v>49</v>
      </c>
      <c r="AX167" t="s">
        <v>49</v>
      </c>
      <c r="AY167" t="s">
        <v>49</v>
      </c>
    </row>
    <row r="168" spans="1:51" ht="16.05" customHeight="1" x14ac:dyDescent="0.3">
      <c r="A168" s="22" t="s">
        <v>315</v>
      </c>
      <c r="B168" s="3" t="s">
        <v>316</v>
      </c>
      <c r="C168" s="15" t="s">
        <v>205</v>
      </c>
      <c r="D168" s="3" t="s">
        <v>101</v>
      </c>
      <c r="E168" s="3" t="s">
        <v>103</v>
      </c>
      <c r="F168" s="3" t="s">
        <v>106</v>
      </c>
      <c r="G168" s="10" t="s">
        <v>132</v>
      </c>
      <c r="H168" s="10" t="s">
        <v>133</v>
      </c>
      <c r="I168" s="6">
        <v>46106</v>
      </c>
      <c r="J168" s="3">
        <v>170000</v>
      </c>
      <c r="K168" s="6">
        <v>46120</v>
      </c>
      <c r="L168" s="18">
        <v>46113</v>
      </c>
      <c r="M168" s="6">
        <f t="shared" si="6"/>
        <v>46174</v>
      </c>
      <c r="N168" s="3" t="s">
        <v>95</v>
      </c>
      <c r="O168" s="3" t="s">
        <v>164</v>
      </c>
      <c r="P168" s="3">
        <v>2</v>
      </c>
      <c r="Q168" s="3">
        <v>0</v>
      </c>
      <c r="R168" s="3">
        <v>0</v>
      </c>
      <c r="S168" s="3">
        <v>0</v>
      </c>
      <c r="T168" s="3">
        <v>85000</v>
      </c>
      <c r="U168" s="3">
        <v>85000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170000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t="s">
        <v>49</v>
      </c>
      <c r="AR168" t="s">
        <v>49</v>
      </c>
      <c r="AS168" t="s">
        <v>49</v>
      </c>
      <c r="AT168" t="s">
        <v>49</v>
      </c>
      <c r="AU168" s="5" t="s">
        <v>49</v>
      </c>
      <c r="AV168" t="s">
        <v>49</v>
      </c>
      <c r="AW168" t="s">
        <v>49</v>
      </c>
      <c r="AX168" t="s">
        <v>49</v>
      </c>
      <c r="AY168" t="s">
        <v>49</v>
      </c>
    </row>
    <row r="169" spans="1:51" ht="16.05" customHeight="1" x14ac:dyDescent="0.3">
      <c r="A169" s="22" t="s">
        <v>317</v>
      </c>
      <c r="B169" s="3" t="s">
        <v>182</v>
      </c>
      <c r="C169" s="15" t="s">
        <v>205</v>
      </c>
      <c r="D169" s="3" t="s">
        <v>101</v>
      </c>
      <c r="E169" s="3" t="s">
        <v>103</v>
      </c>
      <c r="F169" s="3" t="s">
        <v>106</v>
      </c>
      <c r="G169" s="10" t="s">
        <v>132</v>
      </c>
      <c r="H169" s="10" t="s">
        <v>133</v>
      </c>
      <c r="I169" s="6">
        <v>46106</v>
      </c>
      <c r="J169" s="3">
        <v>160000</v>
      </c>
      <c r="K169" s="6">
        <v>46120</v>
      </c>
      <c r="L169" s="18">
        <v>46113</v>
      </c>
      <c r="M169" s="6">
        <f t="shared" si="6"/>
        <v>46204</v>
      </c>
      <c r="N169" s="3" t="s">
        <v>95</v>
      </c>
      <c r="O169" s="3" t="s">
        <v>164</v>
      </c>
      <c r="P169" s="3">
        <v>3</v>
      </c>
      <c r="Q169" s="3">
        <v>0</v>
      </c>
      <c r="R169" s="3">
        <v>0</v>
      </c>
      <c r="S169" s="3">
        <v>0</v>
      </c>
      <c r="T169" s="3">
        <v>53333.33</v>
      </c>
      <c r="U169" s="3">
        <v>53333.33</v>
      </c>
      <c r="V169" s="3">
        <v>53333.33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159999.99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t="s">
        <v>49</v>
      </c>
      <c r="AR169" t="s">
        <v>49</v>
      </c>
      <c r="AS169" t="s">
        <v>49</v>
      </c>
      <c r="AT169" t="s">
        <v>49</v>
      </c>
      <c r="AU169" s="5" t="s">
        <v>49</v>
      </c>
      <c r="AV169" t="s">
        <v>49</v>
      </c>
      <c r="AW169" t="s">
        <v>49</v>
      </c>
      <c r="AX169" t="s">
        <v>49</v>
      </c>
      <c r="AY169" t="s">
        <v>49</v>
      </c>
    </row>
    <row r="170" spans="1:51" ht="16.05" customHeight="1" x14ac:dyDescent="0.3">
      <c r="A170" s="22" t="s">
        <v>318</v>
      </c>
      <c r="B170" s="3" t="s">
        <v>302</v>
      </c>
      <c r="C170" s="15" t="s">
        <v>205</v>
      </c>
      <c r="D170" s="3" t="s">
        <v>55</v>
      </c>
      <c r="E170" s="3" t="s">
        <v>57</v>
      </c>
      <c r="F170" s="3" t="s">
        <v>295</v>
      </c>
      <c r="G170" s="10" t="s">
        <v>132</v>
      </c>
      <c r="H170" s="10" t="s">
        <v>133</v>
      </c>
      <c r="I170" s="6">
        <v>46086</v>
      </c>
      <c r="J170" s="3">
        <v>624000</v>
      </c>
      <c r="K170" s="6">
        <v>46122</v>
      </c>
      <c r="L170" s="18">
        <v>46143</v>
      </c>
      <c r="M170" s="6">
        <f t="shared" si="6"/>
        <v>46419</v>
      </c>
      <c r="N170" s="3" t="s">
        <v>177</v>
      </c>
      <c r="O170" s="3" t="s">
        <v>164</v>
      </c>
      <c r="P170" s="3">
        <v>9</v>
      </c>
      <c r="Q170" s="3">
        <v>0</v>
      </c>
      <c r="R170" s="3">
        <v>0</v>
      </c>
      <c r="S170" s="3">
        <v>0</v>
      </c>
      <c r="T170" s="3">
        <v>0</v>
      </c>
      <c r="U170" s="3">
        <v>69333.33</v>
      </c>
      <c r="V170" s="3">
        <v>69333.33</v>
      </c>
      <c r="W170" s="3">
        <v>69333.33</v>
      </c>
      <c r="X170" s="3">
        <v>69333.33</v>
      </c>
      <c r="Y170" s="3">
        <v>69333.33</v>
      </c>
      <c r="Z170" s="3">
        <v>69333.33</v>
      </c>
      <c r="AA170" s="3">
        <v>69333.33</v>
      </c>
      <c r="AB170" s="3">
        <v>69333.33</v>
      </c>
      <c r="AC170" s="3">
        <v>554666.64</v>
      </c>
      <c r="AD170" s="3">
        <v>69333.33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69333.33</v>
      </c>
      <c r="AQ170" t="s">
        <v>49</v>
      </c>
      <c r="AR170" t="s">
        <v>49</v>
      </c>
      <c r="AS170" t="s">
        <v>49</v>
      </c>
      <c r="AT170" t="s">
        <v>49</v>
      </c>
      <c r="AU170" s="5" t="s">
        <v>49</v>
      </c>
      <c r="AV170" t="s">
        <v>49</v>
      </c>
      <c r="AW170" t="s">
        <v>49</v>
      </c>
      <c r="AX170" t="s">
        <v>49</v>
      </c>
      <c r="AY170" t="s">
        <v>49</v>
      </c>
    </row>
    <row r="171" spans="1:51" ht="16.05" customHeight="1" x14ac:dyDescent="0.3">
      <c r="A171" s="22" t="s">
        <v>319</v>
      </c>
      <c r="B171" s="3" t="s">
        <v>320</v>
      </c>
      <c r="C171" s="15" t="s">
        <v>205</v>
      </c>
      <c r="D171" s="3" t="s">
        <v>55</v>
      </c>
      <c r="E171" s="3" t="s">
        <v>57</v>
      </c>
      <c r="F171" s="3" t="s">
        <v>56</v>
      </c>
      <c r="G171" s="10" t="s">
        <v>132</v>
      </c>
      <c r="H171" s="10" t="s">
        <v>133</v>
      </c>
      <c r="I171" s="6">
        <v>46069</v>
      </c>
      <c r="J171" s="3">
        <v>250000</v>
      </c>
      <c r="K171" s="6">
        <v>46127</v>
      </c>
      <c r="L171" s="18">
        <v>46113</v>
      </c>
      <c r="M171" s="6">
        <f t="shared" si="6"/>
        <v>46478</v>
      </c>
      <c r="N171" s="3" t="s">
        <v>95</v>
      </c>
      <c r="O171" s="3" t="s">
        <v>164</v>
      </c>
      <c r="P171" s="3">
        <v>12</v>
      </c>
      <c r="Q171" s="3">
        <v>0</v>
      </c>
      <c r="R171" s="3">
        <v>0</v>
      </c>
      <c r="S171" s="3">
        <v>0</v>
      </c>
      <c r="T171" s="3">
        <v>20833.330000000002</v>
      </c>
      <c r="U171" s="3">
        <v>20833.330000000002</v>
      </c>
      <c r="V171" s="3">
        <v>20833.330000000002</v>
      </c>
      <c r="W171" s="3">
        <v>20833.330000000002</v>
      </c>
      <c r="X171" s="3">
        <v>20833.330000000002</v>
      </c>
      <c r="Y171" s="3">
        <v>20833.330000000002</v>
      </c>
      <c r="Z171" s="3">
        <v>20833.330000000002</v>
      </c>
      <c r="AA171" s="3">
        <v>20833.330000000002</v>
      </c>
      <c r="AB171" s="3">
        <v>20833.330000000002</v>
      </c>
      <c r="AC171" s="3">
        <v>187499.97</v>
      </c>
      <c r="AD171" s="3">
        <v>20833.330000000002</v>
      </c>
      <c r="AE171" s="3">
        <v>20833.330000000002</v>
      </c>
      <c r="AF171" s="3">
        <v>20833.330000000002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62499.99</v>
      </c>
      <c r="AQ171" t="s">
        <v>49</v>
      </c>
      <c r="AR171" t="s">
        <v>49</v>
      </c>
      <c r="AS171" t="s">
        <v>49</v>
      </c>
      <c r="AT171" t="s">
        <v>49</v>
      </c>
      <c r="AU171" s="5" t="s">
        <v>49</v>
      </c>
      <c r="AV171" t="s">
        <v>49</v>
      </c>
      <c r="AW171" t="s">
        <v>49</v>
      </c>
      <c r="AX171" t="s">
        <v>49</v>
      </c>
      <c r="AY171" t="s">
        <v>49</v>
      </c>
    </row>
    <row r="172" spans="1:51" ht="16.05" hidden="1" customHeight="1" x14ac:dyDescent="0.3">
      <c r="A172" s="2" t="s">
        <v>321</v>
      </c>
      <c r="B172" s="3" t="s">
        <v>323</v>
      </c>
      <c r="C172" s="16" t="s">
        <v>322</v>
      </c>
      <c r="D172" s="3" t="s">
        <v>55</v>
      </c>
      <c r="E172" s="3" t="s">
        <v>57</v>
      </c>
      <c r="F172" s="3" t="s">
        <v>94</v>
      </c>
      <c r="G172" s="5" t="s">
        <v>49</v>
      </c>
      <c r="H172" s="5" t="s">
        <v>49</v>
      </c>
      <c r="I172" s="6">
        <v>45034</v>
      </c>
      <c r="J172" t="s">
        <v>49</v>
      </c>
      <c r="K172" s="6">
        <v>45103</v>
      </c>
      <c r="L172" s="18">
        <v>45078</v>
      </c>
      <c r="M172" s="6">
        <f t="shared" si="6"/>
        <v>45093</v>
      </c>
      <c r="N172" t="s">
        <v>49</v>
      </c>
      <c r="O172" t="s">
        <v>49</v>
      </c>
      <c r="P172">
        <v>0.5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s="3">
        <v>0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49</v>
      </c>
      <c r="AL172" t="s">
        <v>49</v>
      </c>
      <c r="AM172" t="s">
        <v>49</v>
      </c>
      <c r="AN172" t="s">
        <v>49</v>
      </c>
      <c r="AO172" t="s">
        <v>49</v>
      </c>
      <c r="AP172" s="3">
        <v>0</v>
      </c>
      <c r="AQ172" t="s">
        <v>49</v>
      </c>
      <c r="AR172" t="s">
        <v>49</v>
      </c>
      <c r="AS172" t="s">
        <v>49</v>
      </c>
      <c r="AT172" t="s">
        <v>49</v>
      </c>
      <c r="AU172" s="5" t="s">
        <v>49</v>
      </c>
      <c r="AV172" t="s">
        <v>49</v>
      </c>
      <c r="AW172" t="s">
        <v>49</v>
      </c>
      <c r="AX172" t="s">
        <v>49</v>
      </c>
      <c r="AY172" t="s">
        <v>49</v>
      </c>
    </row>
    <row r="173" spans="1:51" ht="16.05" hidden="1" customHeight="1" x14ac:dyDescent="0.3">
      <c r="A173" s="2" t="s">
        <v>324</v>
      </c>
      <c r="B173" s="3" t="s">
        <v>325</v>
      </c>
      <c r="C173" s="16" t="s">
        <v>322</v>
      </c>
      <c r="D173" s="3" t="s">
        <v>55</v>
      </c>
      <c r="E173" s="3" t="s">
        <v>57</v>
      </c>
      <c r="F173" s="3" t="s">
        <v>94</v>
      </c>
      <c r="G173" s="5" t="s">
        <v>49</v>
      </c>
      <c r="H173" s="5" t="s">
        <v>49</v>
      </c>
      <c r="I173" s="6">
        <v>45132</v>
      </c>
      <c r="J173" t="s">
        <v>49</v>
      </c>
      <c r="K173" s="6">
        <v>45212</v>
      </c>
      <c r="L173" s="18">
        <v>45200</v>
      </c>
      <c r="M173" s="6">
        <f t="shared" si="6"/>
        <v>45215.5</v>
      </c>
      <c r="N173" t="s">
        <v>49</v>
      </c>
      <c r="O173" t="s">
        <v>49</v>
      </c>
      <c r="P173">
        <v>0.5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s="3">
        <v>0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49</v>
      </c>
      <c r="AL173" t="s">
        <v>49</v>
      </c>
      <c r="AM173" t="s">
        <v>49</v>
      </c>
      <c r="AN173" t="s">
        <v>49</v>
      </c>
      <c r="AO173" t="s">
        <v>49</v>
      </c>
      <c r="AP173" s="3">
        <v>0</v>
      </c>
      <c r="AQ173" t="s">
        <v>49</v>
      </c>
      <c r="AR173" t="s">
        <v>49</v>
      </c>
      <c r="AS173" t="s">
        <v>49</v>
      </c>
      <c r="AT173" t="s">
        <v>49</v>
      </c>
      <c r="AU173" s="5" t="s">
        <v>49</v>
      </c>
      <c r="AV173" t="s">
        <v>49</v>
      </c>
      <c r="AW173" t="s">
        <v>49</v>
      </c>
      <c r="AX173" t="s">
        <v>49</v>
      </c>
      <c r="AY173" t="s">
        <v>49</v>
      </c>
    </row>
    <row r="174" spans="1:51" ht="16.05" hidden="1" customHeight="1" x14ac:dyDescent="0.3">
      <c r="A174" s="2" t="s">
        <v>326</v>
      </c>
      <c r="B174" s="3" t="s">
        <v>328</v>
      </c>
      <c r="C174" s="16" t="s">
        <v>322</v>
      </c>
      <c r="D174" s="3" t="s">
        <v>55</v>
      </c>
      <c r="E174" s="3" t="s">
        <v>57</v>
      </c>
      <c r="F174" s="3" t="s">
        <v>327</v>
      </c>
      <c r="G174" s="5" t="s">
        <v>49</v>
      </c>
      <c r="H174" s="5" t="s">
        <v>49</v>
      </c>
      <c r="I174" s="6">
        <v>45169</v>
      </c>
      <c r="J174" s="3">
        <v>50000</v>
      </c>
      <c r="K174" s="6">
        <v>45337</v>
      </c>
      <c r="L174" s="18">
        <v>45323</v>
      </c>
      <c r="M174" s="6">
        <f t="shared" si="6"/>
        <v>45337.5</v>
      </c>
      <c r="N174" t="s">
        <v>49</v>
      </c>
      <c r="O174" t="s">
        <v>49</v>
      </c>
      <c r="P174">
        <v>0.5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s="3">
        <v>0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49</v>
      </c>
      <c r="AM174" t="s">
        <v>49</v>
      </c>
      <c r="AN174" t="s">
        <v>49</v>
      </c>
      <c r="AO174" t="s">
        <v>49</v>
      </c>
      <c r="AP174" s="3">
        <v>0</v>
      </c>
      <c r="AQ174" t="s">
        <v>49</v>
      </c>
      <c r="AR174" t="s">
        <v>49</v>
      </c>
      <c r="AS174" t="s">
        <v>49</v>
      </c>
      <c r="AT174" t="s">
        <v>49</v>
      </c>
      <c r="AU174" s="5" t="s">
        <v>49</v>
      </c>
      <c r="AV174" t="s">
        <v>49</v>
      </c>
      <c r="AW174" t="s">
        <v>49</v>
      </c>
      <c r="AX174" t="s">
        <v>49</v>
      </c>
      <c r="AY174" t="s">
        <v>49</v>
      </c>
    </row>
    <row r="175" spans="1:51" ht="16.05" hidden="1" customHeight="1" x14ac:dyDescent="0.3">
      <c r="A175" s="2" t="s">
        <v>329</v>
      </c>
      <c r="B175" s="3" t="s">
        <v>330</v>
      </c>
      <c r="C175" s="16" t="s">
        <v>322</v>
      </c>
      <c r="D175" s="3" t="s">
        <v>55</v>
      </c>
      <c r="E175" s="3" t="s">
        <v>57</v>
      </c>
      <c r="F175" s="3" t="s">
        <v>94</v>
      </c>
      <c r="G175" s="5" t="s">
        <v>49</v>
      </c>
      <c r="H175" s="5" t="s">
        <v>49</v>
      </c>
      <c r="I175" s="6">
        <v>45194</v>
      </c>
      <c r="J175" s="3">
        <v>40000</v>
      </c>
      <c r="K175" s="6">
        <v>45352</v>
      </c>
      <c r="L175" s="18">
        <v>45352</v>
      </c>
      <c r="M175" s="6">
        <f t="shared" si="6"/>
        <v>45367.5</v>
      </c>
      <c r="N175" t="s">
        <v>49</v>
      </c>
      <c r="O175" t="s">
        <v>49</v>
      </c>
      <c r="P175">
        <v>0.5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s="3">
        <v>0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49</v>
      </c>
      <c r="AM175" t="s">
        <v>49</v>
      </c>
      <c r="AN175" t="s">
        <v>49</v>
      </c>
      <c r="AO175" t="s">
        <v>49</v>
      </c>
      <c r="AP175" s="3">
        <v>0</v>
      </c>
      <c r="AQ175" t="s">
        <v>49</v>
      </c>
      <c r="AR175" t="s">
        <v>49</v>
      </c>
      <c r="AS175" t="s">
        <v>49</v>
      </c>
      <c r="AT175" t="s">
        <v>49</v>
      </c>
      <c r="AU175" s="5" t="s">
        <v>49</v>
      </c>
      <c r="AV175" t="s">
        <v>49</v>
      </c>
      <c r="AW175" t="s">
        <v>49</v>
      </c>
      <c r="AX175" t="s">
        <v>49</v>
      </c>
      <c r="AY175" t="s">
        <v>49</v>
      </c>
    </row>
    <row r="176" spans="1:51" ht="16.05" hidden="1" customHeight="1" x14ac:dyDescent="0.3">
      <c r="A176" s="2" t="s">
        <v>331</v>
      </c>
      <c r="B176" s="3" t="s">
        <v>223</v>
      </c>
      <c r="C176" s="16" t="s">
        <v>322</v>
      </c>
      <c r="D176" s="3" t="s">
        <v>55</v>
      </c>
      <c r="E176" s="3" t="s">
        <v>57</v>
      </c>
      <c r="F176" s="3" t="s">
        <v>121</v>
      </c>
      <c r="G176" s="5" t="s">
        <v>49</v>
      </c>
      <c r="H176" s="5" t="s">
        <v>49</v>
      </c>
      <c r="I176" s="6">
        <v>45379</v>
      </c>
      <c r="J176" s="3">
        <v>16800</v>
      </c>
      <c r="K176" s="6">
        <v>45379</v>
      </c>
      <c r="L176" s="18">
        <v>45352</v>
      </c>
      <c r="M176" s="6">
        <f t="shared" si="6"/>
        <v>45367.5</v>
      </c>
      <c r="N176" t="s">
        <v>49</v>
      </c>
      <c r="O176" t="s">
        <v>49</v>
      </c>
      <c r="P176">
        <v>0.5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s="3">
        <v>0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49</v>
      </c>
      <c r="AL176" t="s">
        <v>49</v>
      </c>
      <c r="AM176" t="s">
        <v>49</v>
      </c>
      <c r="AN176" t="s">
        <v>49</v>
      </c>
      <c r="AO176" t="s">
        <v>49</v>
      </c>
      <c r="AP176" s="3">
        <v>0</v>
      </c>
      <c r="AQ176" t="s">
        <v>49</v>
      </c>
      <c r="AR176" t="s">
        <v>49</v>
      </c>
      <c r="AS176" t="s">
        <v>49</v>
      </c>
      <c r="AT176" t="s">
        <v>49</v>
      </c>
      <c r="AU176" s="5" t="s">
        <v>49</v>
      </c>
      <c r="AV176" t="s">
        <v>49</v>
      </c>
      <c r="AW176" t="s">
        <v>49</v>
      </c>
      <c r="AX176" t="s">
        <v>49</v>
      </c>
      <c r="AY176" t="s">
        <v>49</v>
      </c>
    </row>
    <row r="177" spans="1:51" ht="16.05" hidden="1" customHeight="1" x14ac:dyDescent="0.3">
      <c r="A177" s="2" t="s">
        <v>332</v>
      </c>
      <c r="B177" s="3" t="s">
        <v>171</v>
      </c>
      <c r="C177" s="16" t="s">
        <v>322</v>
      </c>
      <c r="D177" s="3" t="s">
        <v>55</v>
      </c>
      <c r="E177" s="3" t="s">
        <v>57</v>
      </c>
      <c r="F177" s="3" t="s">
        <v>121</v>
      </c>
      <c r="G177" s="5" t="s">
        <v>49</v>
      </c>
      <c r="H177" s="5" t="s">
        <v>49</v>
      </c>
      <c r="I177" s="6">
        <v>45418</v>
      </c>
      <c r="J177" s="3">
        <v>150000</v>
      </c>
      <c r="K177" s="6">
        <v>45733</v>
      </c>
      <c r="L177" s="18">
        <v>45717</v>
      </c>
      <c r="M177" s="6">
        <f t="shared" si="6"/>
        <v>45732.5</v>
      </c>
      <c r="N177" t="s">
        <v>49</v>
      </c>
      <c r="O177" t="s">
        <v>49</v>
      </c>
      <c r="P177">
        <v>0.5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s="3">
        <v>0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49</v>
      </c>
      <c r="AN177" t="s">
        <v>49</v>
      </c>
      <c r="AO177" t="s">
        <v>49</v>
      </c>
      <c r="AP177" s="3">
        <v>0</v>
      </c>
      <c r="AQ177" t="s">
        <v>49</v>
      </c>
      <c r="AR177" t="s">
        <v>49</v>
      </c>
      <c r="AS177" t="s">
        <v>49</v>
      </c>
      <c r="AT177" t="s">
        <v>49</v>
      </c>
      <c r="AU177" s="5" t="s">
        <v>49</v>
      </c>
      <c r="AV177" t="s">
        <v>49</v>
      </c>
      <c r="AW177" t="s">
        <v>49</v>
      </c>
      <c r="AX177" t="s">
        <v>49</v>
      </c>
      <c r="AY177" t="s">
        <v>49</v>
      </c>
    </row>
    <row r="178" spans="1:51" ht="16.05" hidden="1" customHeight="1" x14ac:dyDescent="0.3">
      <c r="A178" s="2" t="s">
        <v>333</v>
      </c>
      <c r="B178" s="3" t="s">
        <v>334</v>
      </c>
      <c r="C178" s="16" t="s">
        <v>322</v>
      </c>
      <c r="D178" s="3" t="s">
        <v>55</v>
      </c>
      <c r="E178" s="3" t="s">
        <v>57</v>
      </c>
      <c r="F178" s="3" t="s">
        <v>121</v>
      </c>
      <c r="G178" s="5" t="s">
        <v>49</v>
      </c>
      <c r="H178" s="5" t="s">
        <v>49</v>
      </c>
      <c r="I178" s="6">
        <v>45161</v>
      </c>
      <c r="J178" s="3">
        <v>50000</v>
      </c>
      <c r="K178" s="6">
        <v>45733</v>
      </c>
      <c r="L178" s="18">
        <v>45717</v>
      </c>
      <c r="M178" s="6">
        <f t="shared" si="6"/>
        <v>45732.5</v>
      </c>
      <c r="N178" t="s">
        <v>49</v>
      </c>
      <c r="O178" t="s">
        <v>49</v>
      </c>
      <c r="P178">
        <v>0.5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s="3">
        <v>0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49</v>
      </c>
      <c r="AN178" t="s">
        <v>49</v>
      </c>
      <c r="AO178" t="s">
        <v>49</v>
      </c>
      <c r="AP178" s="3">
        <v>0</v>
      </c>
      <c r="AQ178" t="s">
        <v>49</v>
      </c>
      <c r="AR178" t="s">
        <v>49</v>
      </c>
      <c r="AS178" t="s">
        <v>49</v>
      </c>
      <c r="AT178" t="s">
        <v>49</v>
      </c>
      <c r="AU178" s="5" t="s">
        <v>49</v>
      </c>
      <c r="AV178" t="s">
        <v>49</v>
      </c>
      <c r="AW178" t="s">
        <v>49</v>
      </c>
      <c r="AX178" t="s">
        <v>49</v>
      </c>
      <c r="AY178" t="s">
        <v>49</v>
      </c>
    </row>
    <row r="179" spans="1:51" ht="16.05" hidden="1" customHeight="1" x14ac:dyDescent="0.3">
      <c r="A179" s="2" t="s">
        <v>335</v>
      </c>
      <c r="B179" s="3" t="s">
        <v>337</v>
      </c>
      <c r="C179" s="7" t="s">
        <v>336</v>
      </c>
      <c r="D179" s="3" t="s">
        <v>55</v>
      </c>
      <c r="E179" s="3" t="s">
        <v>57</v>
      </c>
      <c r="F179" s="3" t="s">
        <v>121</v>
      </c>
      <c r="G179" s="5" t="s">
        <v>49</v>
      </c>
      <c r="H179" s="5" t="s">
        <v>49</v>
      </c>
      <c r="I179" s="6">
        <v>45104</v>
      </c>
      <c r="J179" t="s">
        <v>49</v>
      </c>
      <c r="K179" s="6">
        <v>45582</v>
      </c>
      <c r="L179" s="18">
        <v>45566</v>
      </c>
      <c r="M179" s="6">
        <f t="shared" si="6"/>
        <v>45581.5</v>
      </c>
      <c r="N179" t="s">
        <v>49</v>
      </c>
      <c r="O179" t="s">
        <v>49</v>
      </c>
      <c r="P179">
        <v>0.5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s="3">
        <v>0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  <c r="AK179" t="s">
        <v>49</v>
      </c>
      <c r="AL179" t="s">
        <v>49</v>
      </c>
      <c r="AM179" t="s">
        <v>49</v>
      </c>
      <c r="AN179" t="s">
        <v>49</v>
      </c>
      <c r="AO179" t="s">
        <v>49</v>
      </c>
      <c r="AP179" s="3">
        <v>0</v>
      </c>
      <c r="AQ179" t="s">
        <v>49</v>
      </c>
      <c r="AR179" t="s">
        <v>49</v>
      </c>
      <c r="AS179" t="s">
        <v>49</v>
      </c>
      <c r="AT179" t="s">
        <v>49</v>
      </c>
      <c r="AU179" s="5" t="s">
        <v>49</v>
      </c>
      <c r="AV179" t="s">
        <v>49</v>
      </c>
      <c r="AW179" t="s">
        <v>49</v>
      </c>
      <c r="AX179" t="s">
        <v>49</v>
      </c>
      <c r="AY179" t="s">
        <v>49</v>
      </c>
    </row>
    <row r="180" spans="1:51" ht="16.05" hidden="1" customHeight="1" x14ac:dyDescent="0.3">
      <c r="A180" s="2" t="s">
        <v>338</v>
      </c>
      <c r="B180" s="3" t="s">
        <v>339</v>
      </c>
      <c r="C180" s="7" t="s">
        <v>336</v>
      </c>
      <c r="D180" s="3" t="s">
        <v>55</v>
      </c>
      <c r="E180" s="3" t="s">
        <v>57</v>
      </c>
      <c r="F180" s="3" t="s">
        <v>121</v>
      </c>
      <c r="G180" s="5" t="s">
        <v>49</v>
      </c>
      <c r="H180" s="5" t="s">
        <v>49</v>
      </c>
      <c r="I180" s="6">
        <v>45331</v>
      </c>
      <c r="J180" t="s">
        <v>49</v>
      </c>
      <c r="K180" s="6">
        <v>45609</v>
      </c>
      <c r="L180" s="18">
        <v>45597</v>
      </c>
      <c r="M180" s="6">
        <f t="shared" si="6"/>
        <v>45612</v>
      </c>
      <c r="N180" t="s">
        <v>49</v>
      </c>
      <c r="O180" t="s">
        <v>49</v>
      </c>
      <c r="P180">
        <v>0.5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s="3">
        <v>0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49</v>
      </c>
      <c r="AN180" t="s">
        <v>49</v>
      </c>
      <c r="AO180" t="s">
        <v>49</v>
      </c>
      <c r="AP180" s="3">
        <v>0</v>
      </c>
      <c r="AQ180" t="s">
        <v>49</v>
      </c>
      <c r="AR180" t="s">
        <v>49</v>
      </c>
      <c r="AS180" t="s">
        <v>49</v>
      </c>
      <c r="AT180" t="s">
        <v>49</v>
      </c>
      <c r="AU180" s="5" t="s">
        <v>49</v>
      </c>
      <c r="AV180" t="s">
        <v>49</v>
      </c>
      <c r="AW180" t="s">
        <v>49</v>
      </c>
      <c r="AX180" t="s">
        <v>49</v>
      </c>
      <c r="AY180" t="s">
        <v>49</v>
      </c>
    </row>
    <row r="181" spans="1:51" ht="16.05" hidden="1" customHeight="1" x14ac:dyDescent="0.3">
      <c r="A181" s="2" t="s">
        <v>340</v>
      </c>
      <c r="B181" s="3" t="s">
        <v>339</v>
      </c>
      <c r="C181" s="7" t="s">
        <v>336</v>
      </c>
      <c r="D181" s="3" t="s">
        <v>55</v>
      </c>
      <c r="E181" s="3" t="s">
        <v>57</v>
      </c>
      <c r="F181" s="3" t="s">
        <v>121</v>
      </c>
      <c r="G181" s="5" t="s">
        <v>49</v>
      </c>
      <c r="H181" s="5" t="s">
        <v>49</v>
      </c>
      <c r="I181" s="6">
        <v>45331</v>
      </c>
      <c r="J181" t="s">
        <v>49</v>
      </c>
      <c r="K181" s="6">
        <v>45609</v>
      </c>
      <c r="L181" s="18">
        <v>45597</v>
      </c>
      <c r="M181" s="6">
        <f t="shared" si="6"/>
        <v>45612</v>
      </c>
      <c r="N181" t="s">
        <v>49</v>
      </c>
      <c r="O181" t="s">
        <v>49</v>
      </c>
      <c r="P181">
        <v>0.5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s="3">
        <v>0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49</v>
      </c>
      <c r="AL181" t="s">
        <v>49</v>
      </c>
      <c r="AM181" t="s">
        <v>49</v>
      </c>
      <c r="AN181" t="s">
        <v>49</v>
      </c>
      <c r="AO181" t="s">
        <v>49</v>
      </c>
      <c r="AP181" s="3">
        <v>0</v>
      </c>
      <c r="AQ181" t="s">
        <v>49</v>
      </c>
      <c r="AR181" t="s">
        <v>49</v>
      </c>
      <c r="AS181" t="s">
        <v>49</v>
      </c>
      <c r="AT181" t="s">
        <v>49</v>
      </c>
      <c r="AU181" s="5" t="s">
        <v>49</v>
      </c>
      <c r="AV181" t="s">
        <v>49</v>
      </c>
      <c r="AW181" t="s">
        <v>49</v>
      </c>
      <c r="AX181" t="s">
        <v>49</v>
      </c>
      <c r="AY181" t="s">
        <v>49</v>
      </c>
    </row>
    <row r="182" spans="1:51" ht="16.05" hidden="1" customHeight="1" x14ac:dyDescent="0.3">
      <c r="A182" s="2" t="s">
        <v>341</v>
      </c>
      <c r="B182" s="3" t="s">
        <v>342</v>
      </c>
      <c r="C182" s="7" t="s">
        <v>336</v>
      </c>
      <c r="D182" s="3" t="s">
        <v>55</v>
      </c>
      <c r="E182" s="3" t="s">
        <v>57</v>
      </c>
      <c r="F182" s="3" t="s">
        <v>94</v>
      </c>
      <c r="G182" s="5" t="s">
        <v>49</v>
      </c>
      <c r="H182" s="5" t="s">
        <v>49</v>
      </c>
      <c r="I182" s="6">
        <v>45152</v>
      </c>
      <c r="J182" t="s">
        <v>49</v>
      </c>
      <c r="K182" s="6">
        <v>45609</v>
      </c>
      <c r="L182" s="18">
        <v>45597</v>
      </c>
      <c r="M182" s="6">
        <f t="shared" si="6"/>
        <v>45612</v>
      </c>
      <c r="N182" t="s">
        <v>49</v>
      </c>
      <c r="O182" t="s">
        <v>49</v>
      </c>
      <c r="P182">
        <v>0.5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s="3">
        <v>0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49</v>
      </c>
      <c r="AM182" t="s">
        <v>49</v>
      </c>
      <c r="AN182" t="s">
        <v>49</v>
      </c>
      <c r="AO182" t="s">
        <v>49</v>
      </c>
      <c r="AP182" s="3">
        <v>0</v>
      </c>
      <c r="AQ182" t="s">
        <v>49</v>
      </c>
      <c r="AR182" t="s">
        <v>49</v>
      </c>
      <c r="AS182" t="s">
        <v>49</v>
      </c>
      <c r="AT182" t="s">
        <v>49</v>
      </c>
      <c r="AU182" s="5" t="s">
        <v>49</v>
      </c>
      <c r="AV182" t="s">
        <v>49</v>
      </c>
      <c r="AW182" t="s">
        <v>49</v>
      </c>
      <c r="AX182" t="s">
        <v>49</v>
      </c>
      <c r="AY182" t="s">
        <v>49</v>
      </c>
    </row>
    <row r="183" spans="1:51" ht="16.05" hidden="1" customHeight="1" x14ac:dyDescent="0.3">
      <c r="A183" s="2" t="s">
        <v>343</v>
      </c>
      <c r="B183" s="3" t="s">
        <v>344</v>
      </c>
      <c r="C183" s="16" t="s">
        <v>322</v>
      </c>
      <c r="D183" s="3" t="s">
        <v>55</v>
      </c>
      <c r="E183" s="3" t="s">
        <v>57</v>
      </c>
      <c r="F183" s="3" t="s">
        <v>121</v>
      </c>
      <c r="G183" s="5" t="s">
        <v>49</v>
      </c>
      <c r="H183" s="5" t="s">
        <v>49</v>
      </c>
      <c r="I183" s="6">
        <v>45582</v>
      </c>
      <c r="J183" t="s">
        <v>49</v>
      </c>
      <c r="K183" s="6">
        <v>45616</v>
      </c>
      <c r="L183" s="18">
        <v>45597</v>
      </c>
      <c r="M183" s="6">
        <f t="shared" si="6"/>
        <v>45612</v>
      </c>
      <c r="N183" t="s">
        <v>49</v>
      </c>
      <c r="O183" t="s">
        <v>49</v>
      </c>
      <c r="P183">
        <v>0.5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s="3">
        <v>0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  <c r="AK183" t="s">
        <v>49</v>
      </c>
      <c r="AL183" t="s">
        <v>49</v>
      </c>
      <c r="AM183" t="s">
        <v>49</v>
      </c>
      <c r="AN183" t="s">
        <v>49</v>
      </c>
      <c r="AO183" t="s">
        <v>49</v>
      </c>
      <c r="AP183" s="3">
        <v>0</v>
      </c>
      <c r="AQ183" t="s">
        <v>49</v>
      </c>
      <c r="AR183" t="s">
        <v>49</v>
      </c>
      <c r="AS183" t="s">
        <v>49</v>
      </c>
      <c r="AT183" t="s">
        <v>49</v>
      </c>
      <c r="AU183" s="5" t="s">
        <v>49</v>
      </c>
      <c r="AV183" t="s">
        <v>49</v>
      </c>
      <c r="AW183" t="s">
        <v>49</v>
      </c>
      <c r="AX183" t="s">
        <v>49</v>
      </c>
      <c r="AY183" t="s">
        <v>49</v>
      </c>
    </row>
    <row r="184" spans="1:51" ht="16.05" hidden="1" customHeight="1" x14ac:dyDescent="0.3">
      <c r="A184" s="2" t="s">
        <v>345</v>
      </c>
      <c r="B184" s="3" t="s">
        <v>223</v>
      </c>
      <c r="C184" s="16" t="s">
        <v>322</v>
      </c>
      <c r="D184" s="3" t="s">
        <v>55</v>
      </c>
      <c r="E184" s="3" t="s">
        <v>57</v>
      </c>
      <c r="F184" s="3" t="s">
        <v>121</v>
      </c>
      <c r="G184" s="5" t="s">
        <v>49</v>
      </c>
      <c r="H184" s="5" t="s">
        <v>49</v>
      </c>
      <c r="I184" s="6">
        <v>45418</v>
      </c>
      <c r="J184" s="3">
        <v>150000</v>
      </c>
      <c r="K184" s="6">
        <v>45733</v>
      </c>
      <c r="L184" s="18">
        <v>45717</v>
      </c>
      <c r="M184" s="6">
        <f t="shared" si="6"/>
        <v>45732.5</v>
      </c>
      <c r="N184" t="s">
        <v>49</v>
      </c>
      <c r="O184" t="s">
        <v>49</v>
      </c>
      <c r="P184">
        <v>0.5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  <c r="AB184" t="s">
        <v>49</v>
      </c>
      <c r="AC184" s="3">
        <v>0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49</v>
      </c>
      <c r="AL184" t="s">
        <v>49</v>
      </c>
      <c r="AM184" t="s">
        <v>49</v>
      </c>
      <c r="AN184" t="s">
        <v>49</v>
      </c>
      <c r="AO184" t="s">
        <v>49</v>
      </c>
      <c r="AP184" s="3">
        <v>0</v>
      </c>
      <c r="AQ184" t="s">
        <v>49</v>
      </c>
      <c r="AR184" t="s">
        <v>49</v>
      </c>
      <c r="AS184" t="s">
        <v>49</v>
      </c>
      <c r="AT184" t="s">
        <v>49</v>
      </c>
      <c r="AU184" s="5" t="s">
        <v>49</v>
      </c>
      <c r="AV184" t="s">
        <v>49</v>
      </c>
      <c r="AW184" t="s">
        <v>49</v>
      </c>
      <c r="AX184" t="s">
        <v>49</v>
      </c>
      <c r="AY184" t="s">
        <v>49</v>
      </c>
    </row>
    <row r="185" spans="1:51" ht="16.05" hidden="1" customHeight="1" x14ac:dyDescent="0.3">
      <c r="A185" s="2" t="s">
        <v>346</v>
      </c>
      <c r="B185" s="3" t="s">
        <v>346</v>
      </c>
      <c r="C185" s="7" t="s">
        <v>336</v>
      </c>
      <c r="D185" s="3" t="s">
        <v>55</v>
      </c>
      <c r="E185" s="3" t="s">
        <v>57</v>
      </c>
      <c r="F185" s="3" t="s">
        <v>121</v>
      </c>
      <c r="G185" s="5" t="s">
        <v>49</v>
      </c>
      <c r="H185" s="5" t="s">
        <v>49</v>
      </c>
      <c r="I185" s="6">
        <v>45366</v>
      </c>
      <c r="J185" t="s">
        <v>49</v>
      </c>
      <c r="K185" s="6">
        <v>45672</v>
      </c>
      <c r="L185" s="18">
        <v>45658</v>
      </c>
      <c r="M185" s="6">
        <f t="shared" si="6"/>
        <v>45673.5</v>
      </c>
      <c r="N185" t="s">
        <v>49</v>
      </c>
      <c r="O185" t="s">
        <v>49</v>
      </c>
      <c r="P185">
        <v>0.5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s="3">
        <v>0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49</v>
      </c>
      <c r="AL185" t="s">
        <v>49</v>
      </c>
      <c r="AM185" t="s">
        <v>49</v>
      </c>
      <c r="AN185" t="s">
        <v>49</v>
      </c>
      <c r="AO185" t="s">
        <v>49</v>
      </c>
      <c r="AP185" s="3">
        <v>0</v>
      </c>
      <c r="AQ185" t="s">
        <v>49</v>
      </c>
      <c r="AR185" t="s">
        <v>49</v>
      </c>
      <c r="AS185" t="s">
        <v>49</v>
      </c>
      <c r="AT185" t="s">
        <v>49</v>
      </c>
      <c r="AU185" s="5" t="s">
        <v>49</v>
      </c>
      <c r="AV185" t="s">
        <v>49</v>
      </c>
      <c r="AW185" t="s">
        <v>49</v>
      </c>
      <c r="AX185" t="s">
        <v>49</v>
      </c>
      <c r="AY185" t="s">
        <v>49</v>
      </c>
    </row>
    <row r="186" spans="1:51" ht="16.05" hidden="1" customHeight="1" x14ac:dyDescent="0.3">
      <c r="A186" s="2" t="s">
        <v>128</v>
      </c>
      <c r="B186" s="3" t="s">
        <v>129</v>
      </c>
      <c r="C186" s="7" t="s">
        <v>336</v>
      </c>
      <c r="D186" s="3" t="s">
        <v>55</v>
      </c>
      <c r="E186" s="3" t="s">
        <v>57</v>
      </c>
      <c r="F186" s="3" t="s">
        <v>121</v>
      </c>
      <c r="G186" s="5" t="s">
        <v>49</v>
      </c>
      <c r="H186" s="5" t="s">
        <v>49</v>
      </c>
      <c r="I186" s="6">
        <v>45366</v>
      </c>
      <c r="J186" t="s">
        <v>49</v>
      </c>
      <c r="K186" s="6">
        <v>45672</v>
      </c>
      <c r="L186" s="18">
        <v>45658</v>
      </c>
      <c r="M186" s="6">
        <f t="shared" si="6"/>
        <v>45673.5</v>
      </c>
      <c r="N186" t="s">
        <v>49</v>
      </c>
      <c r="O186" t="s">
        <v>49</v>
      </c>
      <c r="P186">
        <v>0.5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s="3">
        <v>0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 t="s">
        <v>49</v>
      </c>
      <c r="AP186" s="3">
        <v>0</v>
      </c>
      <c r="AQ186" t="s">
        <v>49</v>
      </c>
      <c r="AR186" t="s">
        <v>49</v>
      </c>
      <c r="AS186" t="s">
        <v>49</v>
      </c>
      <c r="AT186" t="s">
        <v>49</v>
      </c>
      <c r="AU186" s="5" t="s">
        <v>49</v>
      </c>
      <c r="AV186" t="s">
        <v>49</v>
      </c>
      <c r="AW186" t="s">
        <v>49</v>
      </c>
      <c r="AX186" t="s">
        <v>49</v>
      </c>
      <c r="AY186" t="s">
        <v>49</v>
      </c>
    </row>
    <row r="187" spans="1:51" ht="16.05" hidden="1" customHeight="1" x14ac:dyDescent="0.3">
      <c r="A187" s="2" t="s">
        <v>347</v>
      </c>
      <c r="B187" s="3" t="s">
        <v>348</v>
      </c>
      <c r="C187" s="16" t="s">
        <v>322</v>
      </c>
      <c r="D187" s="3" t="s">
        <v>55</v>
      </c>
      <c r="E187" s="3" t="s">
        <v>57</v>
      </c>
      <c r="F187" s="3" t="s">
        <v>121</v>
      </c>
      <c r="G187" s="5" t="s">
        <v>49</v>
      </c>
      <c r="H187" s="5" t="s">
        <v>49</v>
      </c>
      <c r="I187" s="6">
        <v>45495</v>
      </c>
      <c r="J187" t="s">
        <v>49</v>
      </c>
      <c r="K187" s="6">
        <v>45726</v>
      </c>
      <c r="L187" s="18">
        <v>45717</v>
      </c>
      <c r="M187" s="6">
        <f t="shared" si="6"/>
        <v>45732.5</v>
      </c>
      <c r="N187" t="s">
        <v>49</v>
      </c>
      <c r="O187" t="s">
        <v>49</v>
      </c>
      <c r="P187">
        <v>0.5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 t="s">
        <v>49</v>
      </c>
      <c r="Z187" t="s">
        <v>49</v>
      </c>
      <c r="AA187" t="s">
        <v>49</v>
      </c>
      <c r="AB187" t="s">
        <v>49</v>
      </c>
      <c r="AC187" s="3">
        <v>0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49</v>
      </c>
      <c r="AL187" t="s">
        <v>49</v>
      </c>
      <c r="AM187" t="s">
        <v>49</v>
      </c>
      <c r="AN187" t="s">
        <v>49</v>
      </c>
      <c r="AO187" t="s">
        <v>49</v>
      </c>
      <c r="AP187" s="3">
        <v>0</v>
      </c>
      <c r="AQ187" t="s">
        <v>49</v>
      </c>
      <c r="AR187" t="s">
        <v>49</v>
      </c>
      <c r="AS187" t="s">
        <v>49</v>
      </c>
      <c r="AT187" t="s">
        <v>49</v>
      </c>
      <c r="AU187" s="5" t="s">
        <v>49</v>
      </c>
      <c r="AV187" t="s">
        <v>49</v>
      </c>
      <c r="AW187" t="s">
        <v>49</v>
      </c>
      <c r="AX187" t="s">
        <v>49</v>
      </c>
      <c r="AY187" t="s">
        <v>49</v>
      </c>
    </row>
    <row r="188" spans="1:51" ht="16.05" hidden="1" customHeight="1" x14ac:dyDescent="0.3">
      <c r="A188" s="2" t="s">
        <v>349</v>
      </c>
      <c r="B188" s="3" t="s">
        <v>350</v>
      </c>
      <c r="C188" s="7" t="s">
        <v>336</v>
      </c>
      <c r="D188" s="3" t="s">
        <v>55</v>
      </c>
      <c r="E188" s="3" t="s">
        <v>57</v>
      </c>
      <c r="F188" s="3" t="s">
        <v>94</v>
      </c>
      <c r="G188" s="5" t="s">
        <v>49</v>
      </c>
      <c r="H188" s="5" t="s">
        <v>49</v>
      </c>
      <c r="I188" s="6">
        <v>45527</v>
      </c>
      <c r="J188" t="s">
        <v>49</v>
      </c>
      <c r="K188" s="6">
        <v>45733</v>
      </c>
      <c r="L188" s="18">
        <v>45717</v>
      </c>
      <c r="M188" s="6">
        <f t="shared" si="6"/>
        <v>45732.5</v>
      </c>
      <c r="N188" t="s">
        <v>49</v>
      </c>
      <c r="O188" t="s">
        <v>49</v>
      </c>
      <c r="P188">
        <v>0.5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s="3">
        <v>0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49</v>
      </c>
      <c r="AL188" t="s">
        <v>49</v>
      </c>
      <c r="AM188" t="s">
        <v>49</v>
      </c>
      <c r="AN188" t="s">
        <v>49</v>
      </c>
      <c r="AO188" t="s">
        <v>49</v>
      </c>
      <c r="AP188" s="3">
        <v>0</v>
      </c>
      <c r="AQ188" t="s">
        <v>49</v>
      </c>
      <c r="AR188" t="s">
        <v>49</v>
      </c>
      <c r="AS188" t="s">
        <v>49</v>
      </c>
      <c r="AT188" t="s">
        <v>49</v>
      </c>
      <c r="AU188" s="5" t="s">
        <v>49</v>
      </c>
      <c r="AV188" t="s">
        <v>49</v>
      </c>
      <c r="AW188" t="s">
        <v>49</v>
      </c>
      <c r="AX188" t="s">
        <v>49</v>
      </c>
      <c r="AY188" t="s">
        <v>49</v>
      </c>
    </row>
    <row r="189" spans="1:51" ht="16.05" hidden="1" customHeight="1" x14ac:dyDescent="0.3">
      <c r="A189" s="2" t="s">
        <v>351</v>
      </c>
      <c r="B189" s="3" t="s">
        <v>351</v>
      </c>
      <c r="C189" s="7" t="s">
        <v>336</v>
      </c>
      <c r="D189" s="3" t="s">
        <v>55</v>
      </c>
      <c r="E189" s="3" t="s">
        <v>57</v>
      </c>
      <c r="F189" s="3" t="s">
        <v>94</v>
      </c>
      <c r="G189" s="5" t="s">
        <v>49</v>
      </c>
      <c r="H189" s="5" t="s">
        <v>49</v>
      </c>
      <c r="I189" s="6">
        <v>45055</v>
      </c>
      <c r="J189" t="s">
        <v>49</v>
      </c>
      <c r="K189" s="6">
        <v>45733</v>
      </c>
      <c r="L189" s="18">
        <v>45717</v>
      </c>
      <c r="M189" s="6">
        <f t="shared" si="6"/>
        <v>45732.5</v>
      </c>
      <c r="N189" t="s">
        <v>49</v>
      </c>
      <c r="O189" t="s">
        <v>49</v>
      </c>
      <c r="P189">
        <v>0.5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s="3">
        <v>0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49</v>
      </c>
      <c r="AL189" t="s">
        <v>49</v>
      </c>
      <c r="AM189" t="s">
        <v>49</v>
      </c>
      <c r="AN189" t="s">
        <v>49</v>
      </c>
      <c r="AO189" t="s">
        <v>49</v>
      </c>
      <c r="AP189" s="3">
        <v>0</v>
      </c>
      <c r="AQ189" t="s">
        <v>49</v>
      </c>
      <c r="AR189" t="s">
        <v>49</v>
      </c>
      <c r="AS189" t="s">
        <v>49</v>
      </c>
      <c r="AT189" t="s">
        <v>49</v>
      </c>
      <c r="AU189" s="5" t="s">
        <v>49</v>
      </c>
      <c r="AV189" t="s">
        <v>49</v>
      </c>
      <c r="AW189" t="s">
        <v>49</v>
      </c>
      <c r="AX189" t="s">
        <v>49</v>
      </c>
      <c r="AY189" t="s">
        <v>49</v>
      </c>
    </row>
    <row r="190" spans="1:51" ht="16.05" hidden="1" customHeight="1" x14ac:dyDescent="0.3">
      <c r="A190" s="2" t="s">
        <v>352</v>
      </c>
      <c r="B190" s="3" t="s">
        <v>352</v>
      </c>
      <c r="C190" s="7" t="s">
        <v>336</v>
      </c>
      <c r="D190" s="3" t="s">
        <v>55</v>
      </c>
      <c r="E190" s="3" t="s">
        <v>57</v>
      </c>
      <c r="F190" s="3" t="s">
        <v>94</v>
      </c>
      <c r="G190" s="5" t="s">
        <v>49</v>
      </c>
      <c r="H190" s="5" t="s">
        <v>49</v>
      </c>
      <c r="I190" s="6">
        <v>45056</v>
      </c>
      <c r="J190" t="s">
        <v>49</v>
      </c>
      <c r="K190" s="6">
        <v>45733</v>
      </c>
      <c r="L190" s="18">
        <v>45717</v>
      </c>
      <c r="M190" s="6">
        <f t="shared" si="6"/>
        <v>45732.5</v>
      </c>
      <c r="N190" t="s">
        <v>49</v>
      </c>
      <c r="O190" t="s">
        <v>49</v>
      </c>
      <c r="P190">
        <v>0.5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s="3">
        <v>0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49</v>
      </c>
      <c r="AL190" t="s">
        <v>49</v>
      </c>
      <c r="AM190" t="s">
        <v>49</v>
      </c>
      <c r="AN190" t="s">
        <v>49</v>
      </c>
      <c r="AO190" t="s">
        <v>49</v>
      </c>
      <c r="AP190" s="3">
        <v>0</v>
      </c>
      <c r="AQ190" t="s">
        <v>49</v>
      </c>
      <c r="AR190" t="s">
        <v>49</v>
      </c>
      <c r="AS190" t="s">
        <v>49</v>
      </c>
      <c r="AT190" t="s">
        <v>49</v>
      </c>
      <c r="AU190" s="5" t="s">
        <v>49</v>
      </c>
      <c r="AV190" t="s">
        <v>49</v>
      </c>
      <c r="AW190" t="s">
        <v>49</v>
      </c>
      <c r="AX190" t="s">
        <v>49</v>
      </c>
      <c r="AY190" t="s">
        <v>49</v>
      </c>
    </row>
    <row r="191" spans="1:51" ht="16.05" hidden="1" customHeight="1" x14ac:dyDescent="0.3">
      <c r="A191" s="2" t="s">
        <v>353</v>
      </c>
      <c r="B191" s="3" t="s">
        <v>354</v>
      </c>
      <c r="C191" s="7" t="s">
        <v>336</v>
      </c>
      <c r="D191" s="3" t="s">
        <v>55</v>
      </c>
      <c r="E191" s="3" t="s">
        <v>57</v>
      </c>
      <c r="F191" s="3" t="s">
        <v>94</v>
      </c>
      <c r="G191" s="5" t="s">
        <v>49</v>
      </c>
      <c r="H191" s="5" t="s">
        <v>49</v>
      </c>
      <c r="I191" s="6">
        <v>45588</v>
      </c>
      <c r="J191" t="s">
        <v>49</v>
      </c>
      <c r="K191" s="6">
        <v>45733</v>
      </c>
      <c r="L191" s="18">
        <v>45717</v>
      </c>
      <c r="M191" s="6">
        <f t="shared" si="6"/>
        <v>45732.5</v>
      </c>
      <c r="N191" t="s">
        <v>49</v>
      </c>
      <c r="O191" t="s">
        <v>49</v>
      </c>
      <c r="P191">
        <v>0.5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s="3">
        <v>0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49</v>
      </c>
      <c r="AM191" t="s">
        <v>49</v>
      </c>
      <c r="AN191" t="s">
        <v>49</v>
      </c>
      <c r="AO191" t="s">
        <v>49</v>
      </c>
      <c r="AP191" s="3">
        <v>0</v>
      </c>
      <c r="AQ191" t="s">
        <v>49</v>
      </c>
      <c r="AR191" t="s">
        <v>49</v>
      </c>
      <c r="AS191" t="s">
        <v>49</v>
      </c>
      <c r="AT191" t="s">
        <v>49</v>
      </c>
      <c r="AU191" s="5" t="s">
        <v>49</v>
      </c>
      <c r="AV191" t="s">
        <v>49</v>
      </c>
      <c r="AW191" t="s">
        <v>49</v>
      </c>
      <c r="AX191" t="s">
        <v>49</v>
      </c>
      <c r="AY191" t="s">
        <v>49</v>
      </c>
    </row>
    <row r="192" spans="1:51" ht="16.05" hidden="1" customHeight="1" x14ac:dyDescent="0.3">
      <c r="A192" s="2" t="s">
        <v>355</v>
      </c>
      <c r="B192" s="3" t="s">
        <v>355</v>
      </c>
      <c r="C192" s="7" t="s">
        <v>336</v>
      </c>
      <c r="D192" s="3" t="s">
        <v>55</v>
      </c>
      <c r="E192" s="3" t="s">
        <v>57</v>
      </c>
      <c r="F192" s="3" t="s">
        <v>94</v>
      </c>
      <c r="G192" s="5" t="s">
        <v>49</v>
      </c>
      <c r="H192" s="5" t="s">
        <v>49</v>
      </c>
      <c r="I192" s="6">
        <v>45056</v>
      </c>
      <c r="J192" t="s">
        <v>49</v>
      </c>
      <c r="K192" s="6">
        <v>45733</v>
      </c>
      <c r="L192" s="18">
        <v>45717</v>
      </c>
      <c r="M192" s="6">
        <f t="shared" si="6"/>
        <v>45732.5</v>
      </c>
      <c r="N192" t="s">
        <v>49</v>
      </c>
      <c r="O192" t="s">
        <v>49</v>
      </c>
      <c r="P192">
        <v>0.5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49</v>
      </c>
      <c r="Z192" t="s">
        <v>49</v>
      </c>
      <c r="AA192" t="s">
        <v>49</v>
      </c>
      <c r="AB192" t="s">
        <v>49</v>
      </c>
      <c r="AC192" s="3">
        <v>0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49</v>
      </c>
      <c r="AL192" t="s">
        <v>49</v>
      </c>
      <c r="AM192" t="s">
        <v>49</v>
      </c>
      <c r="AN192" t="s">
        <v>49</v>
      </c>
      <c r="AO192" t="s">
        <v>49</v>
      </c>
      <c r="AP192" s="3">
        <v>0</v>
      </c>
      <c r="AQ192" t="s">
        <v>49</v>
      </c>
      <c r="AR192" t="s">
        <v>49</v>
      </c>
      <c r="AS192" t="s">
        <v>49</v>
      </c>
      <c r="AT192" t="s">
        <v>49</v>
      </c>
      <c r="AU192" s="5" t="s">
        <v>49</v>
      </c>
      <c r="AV192" t="s">
        <v>49</v>
      </c>
      <c r="AW192" t="s">
        <v>49</v>
      </c>
      <c r="AX192" t="s">
        <v>49</v>
      </c>
      <c r="AY192" t="s">
        <v>49</v>
      </c>
    </row>
    <row r="193" spans="1:51" ht="16.05" hidden="1" customHeight="1" x14ac:dyDescent="0.3">
      <c r="A193" s="2" t="s">
        <v>356</v>
      </c>
      <c r="B193" s="3" t="s">
        <v>171</v>
      </c>
      <c r="C193" s="16" t="s">
        <v>322</v>
      </c>
      <c r="D193" s="3" t="s">
        <v>55</v>
      </c>
      <c r="E193" s="3" t="s">
        <v>57</v>
      </c>
      <c r="F193" s="3" t="s">
        <v>121</v>
      </c>
      <c r="G193" s="5" t="s">
        <v>49</v>
      </c>
      <c r="H193" s="5" t="s">
        <v>49</v>
      </c>
      <c r="I193" s="6">
        <v>45733</v>
      </c>
      <c r="J193" s="3">
        <v>64000</v>
      </c>
      <c r="K193" s="6">
        <v>45768</v>
      </c>
      <c r="L193" s="18">
        <v>45748</v>
      </c>
      <c r="M193" s="6">
        <f t="shared" si="6"/>
        <v>45763</v>
      </c>
      <c r="N193" t="s">
        <v>49</v>
      </c>
      <c r="O193" t="s">
        <v>49</v>
      </c>
      <c r="P193">
        <v>0.5</v>
      </c>
      <c r="Q193" t="s">
        <v>49</v>
      </c>
      <c r="R193" t="s">
        <v>49</v>
      </c>
      <c r="S193" t="s">
        <v>49</v>
      </c>
      <c r="T193" s="3">
        <v>24000</v>
      </c>
      <c r="U193" s="3">
        <v>32000</v>
      </c>
      <c r="V193" s="3">
        <v>8000</v>
      </c>
      <c r="W193" t="s">
        <v>49</v>
      </c>
      <c r="X193" t="s">
        <v>49</v>
      </c>
      <c r="Y193" t="s">
        <v>49</v>
      </c>
      <c r="Z193" t="s">
        <v>49</v>
      </c>
      <c r="AA193" t="s">
        <v>49</v>
      </c>
      <c r="AB193" t="s">
        <v>49</v>
      </c>
      <c r="AC193" s="3">
        <v>64000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49</v>
      </c>
      <c r="AN193" t="s">
        <v>49</v>
      </c>
      <c r="AO193" t="s">
        <v>49</v>
      </c>
      <c r="AP193" s="3">
        <v>0</v>
      </c>
      <c r="AQ193" t="s">
        <v>49</v>
      </c>
      <c r="AR193" t="s">
        <v>49</v>
      </c>
      <c r="AS193" t="s">
        <v>49</v>
      </c>
      <c r="AT193" t="s">
        <v>49</v>
      </c>
      <c r="AU193" s="5" t="s">
        <v>49</v>
      </c>
      <c r="AV193" t="s">
        <v>49</v>
      </c>
      <c r="AW193" t="s">
        <v>49</v>
      </c>
      <c r="AX193" t="s">
        <v>49</v>
      </c>
      <c r="AY193" t="s">
        <v>49</v>
      </c>
    </row>
    <row r="194" spans="1:51" ht="16.05" hidden="1" customHeight="1" x14ac:dyDescent="0.3">
      <c r="A194" s="2" t="s">
        <v>357</v>
      </c>
      <c r="B194" s="3" t="s">
        <v>357</v>
      </c>
      <c r="C194" s="7" t="s">
        <v>336</v>
      </c>
      <c r="D194" s="3" t="s">
        <v>55</v>
      </c>
      <c r="E194" s="3" t="s">
        <v>57</v>
      </c>
      <c r="F194" s="3" t="s">
        <v>121</v>
      </c>
      <c r="G194" s="5" t="s">
        <v>49</v>
      </c>
      <c r="H194" s="5" t="s">
        <v>49</v>
      </c>
      <c r="I194" s="6">
        <v>45553</v>
      </c>
      <c r="J194" t="s">
        <v>49</v>
      </c>
      <c r="K194" s="6">
        <v>45772</v>
      </c>
      <c r="L194" s="18">
        <v>45748</v>
      </c>
      <c r="M194" s="6">
        <f t="shared" si="6"/>
        <v>45763</v>
      </c>
      <c r="N194" t="s">
        <v>49</v>
      </c>
      <c r="O194" t="s">
        <v>49</v>
      </c>
      <c r="P194">
        <v>0.5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49</v>
      </c>
      <c r="Z194" t="s">
        <v>49</v>
      </c>
      <c r="AA194" t="s">
        <v>49</v>
      </c>
      <c r="AB194" t="s">
        <v>49</v>
      </c>
      <c r="AC194" s="3">
        <v>0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49</v>
      </c>
      <c r="AM194" t="s">
        <v>49</v>
      </c>
      <c r="AN194" t="s">
        <v>49</v>
      </c>
      <c r="AO194" t="s">
        <v>49</v>
      </c>
      <c r="AP194" s="3">
        <v>0</v>
      </c>
      <c r="AQ194" t="s">
        <v>49</v>
      </c>
      <c r="AR194" t="s">
        <v>49</v>
      </c>
      <c r="AS194" t="s">
        <v>49</v>
      </c>
      <c r="AT194" t="s">
        <v>49</v>
      </c>
      <c r="AU194" s="5" t="s">
        <v>49</v>
      </c>
      <c r="AV194" t="s">
        <v>49</v>
      </c>
      <c r="AW194" t="s">
        <v>49</v>
      </c>
      <c r="AX194" t="s">
        <v>49</v>
      </c>
      <c r="AY194" t="s">
        <v>49</v>
      </c>
    </row>
    <row r="195" spans="1:51" ht="16.05" hidden="1" customHeight="1" x14ac:dyDescent="0.3">
      <c r="A195" s="2" t="s">
        <v>358</v>
      </c>
      <c r="B195" s="3" t="s">
        <v>358</v>
      </c>
      <c r="C195" s="7" t="s">
        <v>336</v>
      </c>
      <c r="D195" s="3" t="s">
        <v>55</v>
      </c>
      <c r="E195" s="3" t="s">
        <v>57</v>
      </c>
      <c r="F195" s="3" t="s">
        <v>121</v>
      </c>
      <c r="G195" s="5" t="s">
        <v>49</v>
      </c>
      <c r="H195" s="5" t="s">
        <v>49</v>
      </c>
      <c r="I195" s="6">
        <v>45551</v>
      </c>
      <c r="J195" t="s">
        <v>49</v>
      </c>
      <c r="K195" s="6">
        <v>45772</v>
      </c>
      <c r="L195" s="18">
        <v>45748</v>
      </c>
      <c r="M195" s="6">
        <f t="shared" ref="M195:M258" si="7">EDATE(L195,INT(P195)) + (P195-INT(P195)) * DAY(EOMONTH(EDATE(L195,INT(P195)),0))</f>
        <v>45763</v>
      </c>
      <c r="N195" t="s">
        <v>49</v>
      </c>
      <c r="O195" t="s">
        <v>49</v>
      </c>
      <c r="P195">
        <v>0.5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s="3">
        <v>0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49</v>
      </c>
      <c r="AL195" t="s">
        <v>49</v>
      </c>
      <c r="AM195" t="s">
        <v>49</v>
      </c>
      <c r="AN195" t="s">
        <v>49</v>
      </c>
      <c r="AO195" t="s">
        <v>49</v>
      </c>
      <c r="AP195" s="3">
        <v>0</v>
      </c>
      <c r="AQ195" t="s">
        <v>49</v>
      </c>
      <c r="AR195" t="s">
        <v>49</v>
      </c>
      <c r="AS195" t="s">
        <v>49</v>
      </c>
      <c r="AT195" t="s">
        <v>49</v>
      </c>
      <c r="AU195" s="5" t="s">
        <v>49</v>
      </c>
      <c r="AV195" t="s">
        <v>49</v>
      </c>
      <c r="AW195" t="s">
        <v>49</v>
      </c>
      <c r="AX195" t="s">
        <v>49</v>
      </c>
      <c r="AY195" t="s">
        <v>49</v>
      </c>
    </row>
    <row r="196" spans="1:51" ht="16.05" hidden="1" customHeight="1" x14ac:dyDescent="0.3">
      <c r="A196" s="2" t="s">
        <v>359</v>
      </c>
      <c r="B196" s="3" t="s">
        <v>171</v>
      </c>
      <c r="C196" s="16" t="s">
        <v>322</v>
      </c>
      <c r="D196" s="3" t="s">
        <v>55</v>
      </c>
      <c r="E196" s="3" t="s">
        <v>57</v>
      </c>
      <c r="F196" s="3" t="s">
        <v>121</v>
      </c>
      <c r="G196" s="5" t="s">
        <v>49</v>
      </c>
      <c r="H196" s="5" t="s">
        <v>49</v>
      </c>
      <c r="I196" s="6">
        <v>45742</v>
      </c>
      <c r="J196" t="s">
        <v>49</v>
      </c>
      <c r="K196" s="6">
        <v>45792</v>
      </c>
      <c r="L196" s="18">
        <v>45778</v>
      </c>
      <c r="M196" s="6">
        <f t="shared" si="7"/>
        <v>45793.5</v>
      </c>
      <c r="N196" t="s">
        <v>49</v>
      </c>
      <c r="O196" t="s">
        <v>49</v>
      </c>
      <c r="P196">
        <v>0.5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s="3">
        <v>23400</v>
      </c>
      <c r="W196" s="3">
        <v>41760</v>
      </c>
      <c r="X196" s="3">
        <v>23400</v>
      </c>
      <c r="Y196" s="3">
        <v>38880</v>
      </c>
      <c r="Z196" s="3">
        <v>34560</v>
      </c>
      <c r="AA196" s="3">
        <v>34560</v>
      </c>
      <c r="AB196" s="3">
        <v>25920</v>
      </c>
      <c r="AC196" s="3">
        <v>222480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  <c r="AN196" t="s">
        <v>49</v>
      </c>
      <c r="AO196" t="s">
        <v>49</v>
      </c>
      <c r="AP196" s="3">
        <v>0</v>
      </c>
      <c r="AQ196" t="s">
        <v>49</v>
      </c>
      <c r="AR196" t="s">
        <v>49</v>
      </c>
      <c r="AS196" t="s">
        <v>49</v>
      </c>
      <c r="AT196" t="s">
        <v>49</v>
      </c>
      <c r="AU196" s="5" t="s">
        <v>49</v>
      </c>
      <c r="AV196" t="s">
        <v>49</v>
      </c>
      <c r="AW196" t="s">
        <v>49</v>
      </c>
      <c r="AX196" t="s">
        <v>49</v>
      </c>
      <c r="AY196" t="s">
        <v>49</v>
      </c>
    </row>
    <row r="197" spans="1:51" ht="16.05" hidden="1" customHeight="1" x14ac:dyDescent="0.3">
      <c r="A197" s="2" t="s">
        <v>360</v>
      </c>
      <c r="B197" s="3" t="s">
        <v>223</v>
      </c>
      <c r="C197" s="16" t="s">
        <v>322</v>
      </c>
      <c r="D197" s="3" t="s">
        <v>55</v>
      </c>
      <c r="E197" s="3" t="s">
        <v>57</v>
      </c>
      <c r="F197" s="3" t="s">
        <v>121</v>
      </c>
      <c r="G197" s="5" t="s">
        <v>49</v>
      </c>
      <c r="H197" s="5" t="s">
        <v>49</v>
      </c>
      <c r="I197" s="6">
        <v>45418</v>
      </c>
      <c r="J197" s="3">
        <v>30000</v>
      </c>
      <c r="K197" s="6">
        <v>45796</v>
      </c>
      <c r="L197" s="18">
        <v>45778</v>
      </c>
      <c r="M197" s="6">
        <f t="shared" si="7"/>
        <v>45793.5</v>
      </c>
      <c r="N197" t="s">
        <v>49</v>
      </c>
      <c r="O197" t="s">
        <v>49</v>
      </c>
      <c r="P197">
        <v>0.5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s="3">
        <v>0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49</v>
      </c>
      <c r="AM197" t="s">
        <v>49</v>
      </c>
      <c r="AN197" t="s">
        <v>49</v>
      </c>
      <c r="AO197" t="s">
        <v>49</v>
      </c>
      <c r="AP197" s="3">
        <v>0</v>
      </c>
      <c r="AQ197" t="s">
        <v>49</v>
      </c>
      <c r="AR197" t="s">
        <v>49</v>
      </c>
      <c r="AS197" t="s">
        <v>49</v>
      </c>
      <c r="AT197" t="s">
        <v>49</v>
      </c>
      <c r="AU197" s="5" t="s">
        <v>49</v>
      </c>
      <c r="AV197" t="s">
        <v>49</v>
      </c>
      <c r="AW197" t="s">
        <v>49</v>
      </c>
      <c r="AX197" t="s">
        <v>49</v>
      </c>
      <c r="AY197" t="s">
        <v>49</v>
      </c>
    </row>
    <row r="198" spans="1:51" ht="16.05" hidden="1" customHeight="1" x14ac:dyDescent="0.3">
      <c r="A198" s="2" t="s">
        <v>361</v>
      </c>
      <c r="B198" s="3" t="s">
        <v>227</v>
      </c>
      <c r="C198" s="7" t="s">
        <v>336</v>
      </c>
      <c r="D198" s="3" t="s">
        <v>55</v>
      </c>
      <c r="E198" s="3" t="s">
        <v>57</v>
      </c>
      <c r="F198" s="3" t="s">
        <v>121</v>
      </c>
      <c r="G198" s="5" t="s">
        <v>49</v>
      </c>
      <c r="H198" s="5" t="s">
        <v>49</v>
      </c>
      <c r="I198" s="6">
        <v>45558</v>
      </c>
      <c r="J198" s="3">
        <v>219000</v>
      </c>
      <c r="K198" s="6">
        <v>45804</v>
      </c>
      <c r="L198" s="18">
        <v>45778</v>
      </c>
      <c r="M198" s="6">
        <f t="shared" si="7"/>
        <v>45793.5</v>
      </c>
      <c r="N198" t="s">
        <v>49</v>
      </c>
      <c r="O198" t="s">
        <v>49</v>
      </c>
      <c r="P198">
        <v>0.5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s="3">
        <v>0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  <c r="AK198" t="s">
        <v>49</v>
      </c>
      <c r="AL198" t="s">
        <v>49</v>
      </c>
      <c r="AM198" t="s">
        <v>49</v>
      </c>
      <c r="AN198" t="s">
        <v>49</v>
      </c>
      <c r="AO198" t="s">
        <v>49</v>
      </c>
      <c r="AP198" s="3">
        <v>0</v>
      </c>
      <c r="AQ198" t="s">
        <v>49</v>
      </c>
      <c r="AR198" t="s">
        <v>49</v>
      </c>
      <c r="AS198" t="s">
        <v>49</v>
      </c>
      <c r="AT198" t="s">
        <v>49</v>
      </c>
      <c r="AU198" s="5" t="s">
        <v>49</v>
      </c>
      <c r="AV198" t="s">
        <v>49</v>
      </c>
      <c r="AW198" t="s">
        <v>49</v>
      </c>
      <c r="AX198" t="s">
        <v>49</v>
      </c>
      <c r="AY198" t="s">
        <v>49</v>
      </c>
    </row>
    <row r="199" spans="1:51" ht="16.05" hidden="1" customHeight="1" x14ac:dyDescent="0.3">
      <c r="A199" s="2" t="s">
        <v>362</v>
      </c>
      <c r="B199" s="3" t="s">
        <v>227</v>
      </c>
      <c r="C199" s="7" t="s">
        <v>336</v>
      </c>
      <c r="D199" s="3" t="s">
        <v>55</v>
      </c>
      <c r="E199" s="3" t="s">
        <v>57</v>
      </c>
      <c r="F199" s="3" t="s">
        <v>121</v>
      </c>
      <c r="G199" s="5" t="s">
        <v>49</v>
      </c>
      <c r="H199" s="5" t="s">
        <v>49</v>
      </c>
      <c r="I199" s="6">
        <v>45558</v>
      </c>
      <c r="J199" s="3">
        <v>30000</v>
      </c>
      <c r="K199" s="6">
        <v>45804</v>
      </c>
      <c r="L199" s="18">
        <v>45778</v>
      </c>
      <c r="M199" s="6">
        <f t="shared" si="7"/>
        <v>45793.5</v>
      </c>
      <c r="N199" t="s">
        <v>49</v>
      </c>
      <c r="O199" t="s">
        <v>49</v>
      </c>
      <c r="P199">
        <v>0.5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s="3">
        <v>0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49</v>
      </c>
      <c r="AN199" t="s">
        <v>49</v>
      </c>
      <c r="AO199" t="s">
        <v>49</v>
      </c>
      <c r="AP199" s="3">
        <v>0</v>
      </c>
      <c r="AQ199" t="s">
        <v>49</v>
      </c>
      <c r="AR199" t="s">
        <v>49</v>
      </c>
      <c r="AS199" t="s">
        <v>49</v>
      </c>
      <c r="AT199" t="s">
        <v>49</v>
      </c>
      <c r="AU199" s="5" t="s">
        <v>49</v>
      </c>
      <c r="AV199" t="s">
        <v>49</v>
      </c>
      <c r="AW199" t="s">
        <v>49</v>
      </c>
      <c r="AX199" t="s">
        <v>49</v>
      </c>
      <c r="AY199" t="s">
        <v>49</v>
      </c>
    </row>
    <row r="200" spans="1:51" ht="16.05" hidden="1" customHeight="1" x14ac:dyDescent="0.3">
      <c r="A200" s="2" t="s">
        <v>363</v>
      </c>
      <c r="B200" s="3" t="s">
        <v>227</v>
      </c>
      <c r="C200" s="7" t="s">
        <v>336</v>
      </c>
      <c r="D200" s="3" t="s">
        <v>55</v>
      </c>
      <c r="E200" s="3" t="s">
        <v>57</v>
      </c>
      <c r="F200" s="3" t="s">
        <v>121</v>
      </c>
      <c r="G200" s="5" t="s">
        <v>49</v>
      </c>
      <c r="H200" s="5" t="s">
        <v>49</v>
      </c>
      <c r="I200" s="6">
        <v>45558</v>
      </c>
      <c r="J200" s="3">
        <v>120000</v>
      </c>
      <c r="K200" s="6">
        <v>45804</v>
      </c>
      <c r="L200" s="18">
        <v>45778</v>
      </c>
      <c r="M200" s="6">
        <f t="shared" si="7"/>
        <v>45793.5</v>
      </c>
      <c r="N200" t="s">
        <v>49</v>
      </c>
      <c r="O200" t="s">
        <v>49</v>
      </c>
      <c r="P200">
        <v>0.5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 s="3">
        <v>0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  <c r="AM200" t="s">
        <v>49</v>
      </c>
      <c r="AN200" t="s">
        <v>49</v>
      </c>
      <c r="AO200" t="s">
        <v>49</v>
      </c>
      <c r="AP200" s="3">
        <v>0</v>
      </c>
      <c r="AQ200" t="s">
        <v>49</v>
      </c>
      <c r="AR200" t="s">
        <v>49</v>
      </c>
      <c r="AS200" t="s">
        <v>49</v>
      </c>
      <c r="AT200" t="s">
        <v>49</v>
      </c>
      <c r="AU200" s="5" t="s">
        <v>49</v>
      </c>
      <c r="AV200" t="s">
        <v>49</v>
      </c>
      <c r="AW200" t="s">
        <v>49</v>
      </c>
      <c r="AX200" t="s">
        <v>49</v>
      </c>
      <c r="AY200" t="s">
        <v>49</v>
      </c>
    </row>
    <row r="201" spans="1:51" ht="16.05" hidden="1" customHeight="1" x14ac:dyDescent="0.3">
      <c r="A201" s="2" t="s">
        <v>364</v>
      </c>
      <c r="B201" s="3" t="s">
        <v>227</v>
      </c>
      <c r="C201" s="7" t="s">
        <v>336</v>
      </c>
      <c r="D201" s="3" t="s">
        <v>55</v>
      </c>
      <c r="E201" s="3" t="s">
        <v>57</v>
      </c>
      <c r="F201" s="3" t="s">
        <v>121</v>
      </c>
      <c r="G201" s="5" t="s">
        <v>49</v>
      </c>
      <c r="H201" s="5" t="s">
        <v>49</v>
      </c>
      <c r="I201" s="6">
        <v>45609</v>
      </c>
      <c r="J201" s="3">
        <v>8000</v>
      </c>
      <c r="K201" s="6">
        <v>45804</v>
      </c>
      <c r="L201" s="18">
        <v>45778</v>
      </c>
      <c r="M201" s="6">
        <f t="shared" si="7"/>
        <v>45793.5</v>
      </c>
      <c r="N201" t="s">
        <v>49</v>
      </c>
      <c r="O201" t="s">
        <v>49</v>
      </c>
      <c r="P201">
        <v>0.5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s="3">
        <v>0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49</v>
      </c>
      <c r="AN201" t="s">
        <v>49</v>
      </c>
      <c r="AO201" t="s">
        <v>49</v>
      </c>
      <c r="AP201" s="3">
        <v>0</v>
      </c>
      <c r="AQ201" t="s">
        <v>49</v>
      </c>
      <c r="AR201" t="s">
        <v>49</v>
      </c>
      <c r="AS201" t="s">
        <v>49</v>
      </c>
      <c r="AT201" t="s">
        <v>49</v>
      </c>
      <c r="AU201" s="5" t="s">
        <v>49</v>
      </c>
      <c r="AV201" t="s">
        <v>49</v>
      </c>
      <c r="AW201" t="s">
        <v>49</v>
      </c>
      <c r="AX201" t="s">
        <v>49</v>
      </c>
      <c r="AY201" t="s">
        <v>49</v>
      </c>
    </row>
    <row r="202" spans="1:51" ht="16.05" hidden="1" customHeight="1" x14ac:dyDescent="0.3">
      <c r="A202" s="2" t="s">
        <v>365</v>
      </c>
      <c r="B202" s="3" t="s">
        <v>366</v>
      </c>
      <c r="C202" s="16" t="s">
        <v>322</v>
      </c>
      <c r="D202" s="3" t="s">
        <v>101</v>
      </c>
      <c r="E202" s="3" t="s">
        <v>103</v>
      </c>
      <c r="F202" s="3" t="s">
        <v>250</v>
      </c>
      <c r="G202" s="5" t="s">
        <v>49</v>
      </c>
      <c r="H202" s="5" t="s">
        <v>49</v>
      </c>
      <c r="I202" s="6">
        <v>45345</v>
      </c>
      <c r="J202" s="3">
        <v>25000</v>
      </c>
      <c r="K202" s="6">
        <v>45376</v>
      </c>
      <c r="L202" s="18">
        <v>45352</v>
      </c>
      <c r="M202" s="6">
        <f t="shared" si="7"/>
        <v>45367.5</v>
      </c>
      <c r="N202" t="s">
        <v>49</v>
      </c>
      <c r="O202" t="s">
        <v>49</v>
      </c>
      <c r="P202">
        <v>0.5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s="3">
        <v>0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s="3">
        <v>0</v>
      </c>
      <c r="AQ202" t="s">
        <v>49</v>
      </c>
      <c r="AR202" t="s">
        <v>49</v>
      </c>
      <c r="AS202" t="s">
        <v>49</v>
      </c>
      <c r="AT202" t="s">
        <v>49</v>
      </c>
      <c r="AU202" s="5" t="s">
        <v>49</v>
      </c>
      <c r="AV202" t="s">
        <v>49</v>
      </c>
      <c r="AW202" t="s">
        <v>49</v>
      </c>
      <c r="AX202" t="s">
        <v>49</v>
      </c>
      <c r="AY202" t="s">
        <v>49</v>
      </c>
    </row>
    <row r="203" spans="1:51" ht="16.05" hidden="1" customHeight="1" x14ac:dyDescent="0.3">
      <c r="A203" s="2" t="s">
        <v>367</v>
      </c>
      <c r="B203" s="3" t="s">
        <v>100</v>
      </c>
      <c r="C203" s="16" t="s">
        <v>322</v>
      </c>
      <c r="D203" s="3" t="s">
        <v>101</v>
      </c>
      <c r="E203" s="3" t="s">
        <v>103</v>
      </c>
      <c r="F203" s="3" t="s">
        <v>102</v>
      </c>
      <c r="G203" s="5" t="s">
        <v>49</v>
      </c>
      <c r="H203" s="5" t="s">
        <v>49</v>
      </c>
      <c r="I203" s="6">
        <v>45413</v>
      </c>
      <c r="J203" s="3">
        <v>140000</v>
      </c>
      <c r="K203" s="6">
        <v>45449</v>
      </c>
      <c r="L203" s="18">
        <v>45444</v>
      </c>
      <c r="M203" s="6">
        <f t="shared" si="7"/>
        <v>45459</v>
      </c>
      <c r="N203" t="s">
        <v>49</v>
      </c>
      <c r="O203" t="s">
        <v>49</v>
      </c>
      <c r="P203">
        <v>0.5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s="3">
        <v>0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49</v>
      </c>
      <c r="AN203" t="s">
        <v>49</v>
      </c>
      <c r="AO203" t="s">
        <v>49</v>
      </c>
      <c r="AP203" s="3">
        <v>0</v>
      </c>
      <c r="AQ203" t="s">
        <v>49</v>
      </c>
      <c r="AR203" t="s">
        <v>49</v>
      </c>
      <c r="AS203" t="s">
        <v>49</v>
      </c>
      <c r="AT203" t="s">
        <v>49</v>
      </c>
      <c r="AU203" s="5" t="s">
        <v>49</v>
      </c>
      <c r="AV203" t="s">
        <v>49</v>
      </c>
      <c r="AW203" t="s">
        <v>49</v>
      </c>
      <c r="AX203" t="s">
        <v>49</v>
      </c>
      <c r="AY203" t="s">
        <v>49</v>
      </c>
    </row>
    <row r="204" spans="1:51" ht="16.05" hidden="1" customHeight="1" x14ac:dyDescent="0.3">
      <c r="A204" s="2" t="s">
        <v>368</v>
      </c>
      <c r="B204" s="3" t="s">
        <v>100</v>
      </c>
      <c r="C204" s="16" t="s">
        <v>322</v>
      </c>
      <c r="D204" s="3" t="s">
        <v>101</v>
      </c>
      <c r="E204" s="3" t="s">
        <v>103</v>
      </c>
      <c r="F204" s="3" t="s">
        <v>102</v>
      </c>
      <c r="G204" s="5" t="s">
        <v>49</v>
      </c>
      <c r="H204" s="5" t="s">
        <v>49</v>
      </c>
      <c r="I204" s="6">
        <v>45413</v>
      </c>
      <c r="J204" s="3">
        <v>140000</v>
      </c>
      <c r="K204" s="6">
        <v>45449</v>
      </c>
      <c r="L204" s="18">
        <v>45444</v>
      </c>
      <c r="M204" s="6">
        <f t="shared" si="7"/>
        <v>45459</v>
      </c>
      <c r="N204" t="s">
        <v>49</v>
      </c>
      <c r="O204" t="s">
        <v>49</v>
      </c>
      <c r="P204">
        <v>0.5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49</v>
      </c>
      <c r="W204" t="s">
        <v>49</v>
      </c>
      <c r="X204" t="s">
        <v>49</v>
      </c>
      <c r="Y204" t="s">
        <v>49</v>
      </c>
      <c r="Z204" t="s">
        <v>49</v>
      </c>
      <c r="AA204" t="s">
        <v>49</v>
      </c>
      <c r="AB204" t="s">
        <v>49</v>
      </c>
      <c r="AC204" s="3">
        <v>0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  <c r="AM204" t="s">
        <v>49</v>
      </c>
      <c r="AN204" t="s">
        <v>49</v>
      </c>
      <c r="AO204" t="s">
        <v>49</v>
      </c>
      <c r="AP204" s="3">
        <v>0</v>
      </c>
      <c r="AQ204" t="s">
        <v>49</v>
      </c>
      <c r="AR204" t="s">
        <v>49</v>
      </c>
      <c r="AS204" t="s">
        <v>49</v>
      </c>
      <c r="AT204" t="s">
        <v>49</v>
      </c>
      <c r="AU204" s="5" t="s">
        <v>49</v>
      </c>
      <c r="AV204" t="s">
        <v>49</v>
      </c>
      <c r="AW204" t="s">
        <v>49</v>
      </c>
      <c r="AX204" t="s">
        <v>49</v>
      </c>
      <c r="AY204" t="s">
        <v>49</v>
      </c>
    </row>
    <row r="205" spans="1:51" ht="16.05" hidden="1" customHeight="1" x14ac:dyDescent="0.3">
      <c r="A205" s="2" t="s">
        <v>369</v>
      </c>
      <c r="B205" s="3" t="s">
        <v>370</v>
      </c>
      <c r="C205" s="7" t="s">
        <v>336</v>
      </c>
      <c r="D205" s="3" t="s">
        <v>101</v>
      </c>
      <c r="E205" s="3" t="s">
        <v>103</v>
      </c>
      <c r="F205" s="3" t="s">
        <v>94</v>
      </c>
      <c r="G205" s="5" t="s">
        <v>49</v>
      </c>
      <c r="H205" s="5" t="s">
        <v>49</v>
      </c>
      <c r="I205" s="6">
        <v>45331</v>
      </c>
      <c r="J205" s="3">
        <v>40000</v>
      </c>
      <c r="K205" s="6">
        <v>45806</v>
      </c>
      <c r="L205" s="18">
        <v>45778</v>
      </c>
      <c r="M205" s="6">
        <f t="shared" si="7"/>
        <v>45793.5</v>
      </c>
      <c r="N205" t="s">
        <v>49</v>
      </c>
      <c r="O205" t="s">
        <v>49</v>
      </c>
      <c r="P205">
        <v>0.5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s="3">
        <v>0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49</v>
      </c>
      <c r="AM205" t="s">
        <v>49</v>
      </c>
      <c r="AN205" t="s">
        <v>49</v>
      </c>
      <c r="AO205" t="s">
        <v>49</v>
      </c>
      <c r="AP205" s="3">
        <v>0</v>
      </c>
      <c r="AQ205" t="s">
        <v>49</v>
      </c>
      <c r="AR205" t="s">
        <v>49</v>
      </c>
      <c r="AS205" t="s">
        <v>49</v>
      </c>
      <c r="AT205" t="s">
        <v>49</v>
      </c>
      <c r="AU205" s="5" t="s">
        <v>49</v>
      </c>
      <c r="AV205" t="s">
        <v>49</v>
      </c>
      <c r="AW205" t="s">
        <v>49</v>
      </c>
      <c r="AX205" t="s">
        <v>49</v>
      </c>
      <c r="AY205" t="s">
        <v>49</v>
      </c>
    </row>
    <row r="206" spans="1:51" ht="16.05" hidden="1" customHeight="1" x14ac:dyDescent="0.3">
      <c r="A206" s="2" t="s">
        <v>371</v>
      </c>
      <c r="B206" s="3" t="s">
        <v>372</v>
      </c>
      <c r="C206" s="16" t="s">
        <v>322</v>
      </c>
      <c r="D206" s="3" t="s">
        <v>101</v>
      </c>
      <c r="E206" s="3" t="s">
        <v>103</v>
      </c>
      <c r="F206" s="3" t="s">
        <v>94</v>
      </c>
      <c r="G206" s="5" t="s">
        <v>49</v>
      </c>
      <c r="H206" s="5" t="s">
        <v>49</v>
      </c>
      <c r="I206" s="6">
        <v>45413</v>
      </c>
      <c r="J206" s="3">
        <v>100000</v>
      </c>
      <c r="K206" s="6">
        <v>45471</v>
      </c>
      <c r="L206" s="18">
        <v>45444</v>
      </c>
      <c r="M206" s="6">
        <f t="shared" si="7"/>
        <v>45459</v>
      </c>
      <c r="N206" t="s">
        <v>49</v>
      </c>
      <c r="O206" t="s">
        <v>49</v>
      </c>
      <c r="P206">
        <v>0.5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s="3">
        <v>0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49</v>
      </c>
      <c r="AM206" t="s">
        <v>49</v>
      </c>
      <c r="AN206" t="s">
        <v>49</v>
      </c>
      <c r="AO206" t="s">
        <v>49</v>
      </c>
      <c r="AP206" s="3">
        <v>0</v>
      </c>
      <c r="AQ206" t="s">
        <v>49</v>
      </c>
      <c r="AR206" t="s">
        <v>49</v>
      </c>
      <c r="AS206" t="s">
        <v>49</v>
      </c>
      <c r="AT206" t="s">
        <v>49</v>
      </c>
      <c r="AU206" s="5" t="s">
        <v>49</v>
      </c>
      <c r="AV206" t="s">
        <v>49</v>
      </c>
      <c r="AW206" t="s">
        <v>49</v>
      </c>
      <c r="AX206" t="s">
        <v>49</v>
      </c>
      <c r="AY206" t="s">
        <v>49</v>
      </c>
    </row>
    <row r="207" spans="1:51" ht="16.05" hidden="1" customHeight="1" x14ac:dyDescent="0.3">
      <c r="A207" s="2" t="s">
        <v>373</v>
      </c>
      <c r="B207" s="3" t="s">
        <v>189</v>
      </c>
      <c r="C207" s="7" t="s">
        <v>336</v>
      </c>
      <c r="D207" s="3" t="s">
        <v>101</v>
      </c>
      <c r="E207" s="3" t="s">
        <v>103</v>
      </c>
      <c r="F207" s="3" t="s">
        <v>94</v>
      </c>
      <c r="G207" s="5" t="s">
        <v>49</v>
      </c>
      <c r="H207" s="5" t="s">
        <v>49</v>
      </c>
      <c r="I207" s="6">
        <v>45469</v>
      </c>
      <c r="J207" t="s">
        <v>49</v>
      </c>
      <c r="K207" s="6">
        <v>45806</v>
      </c>
      <c r="L207" s="18">
        <v>45778</v>
      </c>
      <c r="M207" s="6">
        <f t="shared" si="7"/>
        <v>45793.5</v>
      </c>
      <c r="N207" t="s">
        <v>49</v>
      </c>
      <c r="O207" t="s">
        <v>49</v>
      </c>
      <c r="P207">
        <v>0.5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49</v>
      </c>
      <c r="X207" t="s">
        <v>49</v>
      </c>
      <c r="Y207" t="s">
        <v>49</v>
      </c>
      <c r="Z207" t="s">
        <v>49</v>
      </c>
      <c r="AA207" t="s">
        <v>49</v>
      </c>
      <c r="AB207" t="s">
        <v>49</v>
      </c>
      <c r="AC207" s="3">
        <v>0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49</v>
      </c>
      <c r="AM207" t="s">
        <v>49</v>
      </c>
      <c r="AN207" t="s">
        <v>49</v>
      </c>
      <c r="AO207" t="s">
        <v>49</v>
      </c>
      <c r="AP207" s="3">
        <v>0</v>
      </c>
      <c r="AQ207" t="s">
        <v>49</v>
      </c>
      <c r="AR207" t="s">
        <v>49</v>
      </c>
      <c r="AS207" t="s">
        <v>49</v>
      </c>
      <c r="AT207" t="s">
        <v>49</v>
      </c>
      <c r="AU207" s="5" t="s">
        <v>49</v>
      </c>
      <c r="AV207" t="s">
        <v>49</v>
      </c>
      <c r="AW207" t="s">
        <v>49</v>
      </c>
      <c r="AX207" t="s">
        <v>49</v>
      </c>
      <c r="AY207" t="s">
        <v>49</v>
      </c>
    </row>
    <row r="208" spans="1:51" ht="16.05" hidden="1" customHeight="1" x14ac:dyDescent="0.3">
      <c r="A208" s="2" t="s">
        <v>374</v>
      </c>
      <c r="B208" s="3" t="s">
        <v>372</v>
      </c>
      <c r="C208" s="16" t="s">
        <v>322</v>
      </c>
      <c r="D208" s="3" t="s">
        <v>101</v>
      </c>
      <c r="E208" s="3" t="s">
        <v>103</v>
      </c>
      <c r="F208" s="3" t="s">
        <v>94</v>
      </c>
      <c r="G208" s="5" t="s">
        <v>49</v>
      </c>
      <c r="H208" s="5" t="s">
        <v>49</v>
      </c>
      <c r="I208" s="6">
        <v>45510</v>
      </c>
      <c r="J208" s="3">
        <v>400000</v>
      </c>
      <c r="K208" s="6">
        <v>45524</v>
      </c>
      <c r="L208" s="18">
        <v>45505</v>
      </c>
      <c r="M208" s="6">
        <f t="shared" si="7"/>
        <v>45520.5</v>
      </c>
      <c r="N208" t="s">
        <v>49</v>
      </c>
      <c r="O208" t="s">
        <v>49</v>
      </c>
      <c r="P208">
        <v>0.5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49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s="3">
        <v>0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49</v>
      </c>
      <c r="AN208" t="s">
        <v>49</v>
      </c>
      <c r="AO208" t="s">
        <v>49</v>
      </c>
      <c r="AP208" s="3">
        <v>0</v>
      </c>
      <c r="AQ208" t="s">
        <v>49</v>
      </c>
      <c r="AR208" t="s">
        <v>49</v>
      </c>
      <c r="AS208" t="s">
        <v>49</v>
      </c>
      <c r="AT208" t="s">
        <v>49</v>
      </c>
      <c r="AU208" s="5" t="s">
        <v>49</v>
      </c>
      <c r="AV208" t="s">
        <v>49</v>
      </c>
      <c r="AW208" t="s">
        <v>49</v>
      </c>
      <c r="AX208" t="s">
        <v>49</v>
      </c>
      <c r="AY208" t="s">
        <v>49</v>
      </c>
    </row>
    <row r="209" spans="1:51" ht="16.05" hidden="1" customHeight="1" x14ac:dyDescent="0.3">
      <c r="A209" s="2" t="s">
        <v>375</v>
      </c>
      <c r="B209" s="3" t="s">
        <v>140</v>
      </c>
      <c r="C209" s="7" t="s">
        <v>336</v>
      </c>
      <c r="D209" s="3" t="s">
        <v>101</v>
      </c>
      <c r="E209" s="3" t="s">
        <v>103</v>
      </c>
      <c r="F209" s="3" t="s">
        <v>94</v>
      </c>
      <c r="G209" s="5" t="s">
        <v>49</v>
      </c>
      <c r="H209" s="5" t="s">
        <v>49</v>
      </c>
      <c r="I209" s="6">
        <v>45510</v>
      </c>
      <c r="J209" s="3">
        <v>148500</v>
      </c>
      <c r="K209" s="6">
        <v>45806</v>
      </c>
      <c r="L209" s="18">
        <v>45778</v>
      </c>
      <c r="M209" s="6">
        <f t="shared" si="7"/>
        <v>45793.5</v>
      </c>
      <c r="N209" t="s">
        <v>49</v>
      </c>
      <c r="O209" t="s">
        <v>49</v>
      </c>
      <c r="P209">
        <v>0.5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49</v>
      </c>
      <c r="W209" t="s">
        <v>49</v>
      </c>
      <c r="X209" t="s">
        <v>49</v>
      </c>
      <c r="Y209" t="s">
        <v>49</v>
      </c>
      <c r="Z209" t="s">
        <v>49</v>
      </c>
      <c r="AA209" t="s">
        <v>49</v>
      </c>
      <c r="AB209" t="s">
        <v>49</v>
      </c>
      <c r="AC209" s="3">
        <v>0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s="3">
        <v>0</v>
      </c>
      <c r="AQ209" t="s">
        <v>49</v>
      </c>
      <c r="AR209" t="s">
        <v>49</v>
      </c>
      <c r="AS209" t="s">
        <v>49</v>
      </c>
      <c r="AT209" t="s">
        <v>49</v>
      </c>
      <c r="AU209" s="5" t="s">
        <v>49</v>
      </c>
      <c r="AV209" t="s">
        <v>49</v>
      </c>
      <c r="AW209" t="s">
        <v>49</v>
      </c>
      <c r="AX209" t="s">
        <v>49</v>
      </c>
      <c r="AY209" t="s">
        <v>49</v>
      </c>
    </row>
    <row r="210" spans="1:51" ht="16.05" hidden="1" customHeight="1" x14ac:dyDescent="0.3">
      <c r="A210" s="2" t="s">
        <v>376</v>
      </c>
      <c r="B210" s="3" t="s">
        <v>131</v>
      </c>
      <c r="C210" s="16" t="s">
        <v>322</v>
      </c>
      <c r="D210" s="3" t="s">
        <v>101</v>
      </c>
      <c r="E210" s="3" t="s">
        <v>103</v>
      </c>
      <c r="F210" s="3" t="s">
        <v>102</v>
      </c>
      <c r="G210" s="5" t="s">
        <v>49</v>
      </c>
      <c r="H210" s="5" t="s">
        <v>49</v>
      </c>
      <c r="I210" s="6">
        <v>45500</v>
      </c>
      <c r="J210" s="3">
        <v>130000</v>
      </c>
      <c r="K210" s="6">
        <v>45534</v>
      </c>
      <c r="L210" s="18">
        <v>45505</v>
      </c>
      <c r="M210" s="6">
        <f t="shared" si="7"/>
        <v>45520.5</v>
      </c>
      <c r="N210" t="s">
        <v>49</v>
      </c>
      <c r="O210" t="s">
        <v>49</v>
      </c>
      <c r="P210">
        <v>0.5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s="3">
        <v>0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49</v>
      </c>
      <c r="AM210" t="s">
        <v>49</v>
      </c>
      <c r="AN210" t="s">
        <v>49</v>
      </c>
      <c r="AO210" t="s">
        <v>49</v>
      </c>
      <c r="AP210" s="3">
        <v>0</v>
      </c>
      <c r="AQ210" t="s">
        <v>49</v>
      </c>
      <c r="AR210" t="s">
        <v>49</v>
      </c>
      <c r="AS210" t="s">
        <v>49</v>
      </c>
      <c r="AT210" t="s">
        <v>49</v>
      </c>
      <c r="AU210" s="5" t="s">
        <v>49</v>
      </c>
      <c r="AV210" t="s">
        <v>49</v>
      </c>
      <c r="AW210" t="s">
        <v>49</v>
      </c>
      <c r="AX210" t="s">
        <v>49</v>
      </c>
      <c r="AY210" t="s">
        <v>49</v>
      </c>
    </row>
    <row r="211" spans="1:51" ht="16.05" hidden="1" customHeight="1" x14ac:dyDescent="0.3">
      <c r="A211" s="2" t="s">
        <v>377</v>
      </c>
      <c r="B211" s="3" t="s">
        <v>140</v>
      </c>
      <c r="C211" s="16" t="s">
        <v>322</v>
      </c>
      <c r="D211" s="3" t="s">
        <v>101</v>
      </c>
      <c r="E211" s="3" t="s">
        <v>103</v>
      </c>
      <c r="F211" s="3" t="s">
        <v>94</v>
      </c>
      <c r="G211" s="5" t="s">
        <v>49</v>
      </c>
      <c r="H211" s="5" t="s">
        <v>49</v>
      </c>
      <c r="I211" s="6">
        <v>45510</v>
      </c>
      <c r="J211" s="3">
        <v>90000</v>
      </c>
      <c r="K211" s="6">
        <v>45544</v>
      </c>
      <c r="L211" s="18">
        <v>45536</v>
      </c>
      <c r="M211" s="6">
        <f t="shared" si="7"/>
        <v>45551</v>
      </c>
      <c r="N211" t="s">
        <v>49</v>
      </c>
      <c r="O211" t="s">
        <v>49</v>
      </c>
      <c r="P211">
        <v>0.5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s="3">
        <v>0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49</v>
      </c>
      <c r="AN211" t="s">
        <v>49</v>
      </c>
      <c r="AO211" t="s">
        <v>49</v>
      </c>
      <c r="AP211" s="3">
        <v>0</v>
      </c>
      <c r="AQ211" t="s">
        <v>49</v>
      </c>
      <c r="AR211" t="s">
        <v>49</v>
      </c>
      <c r="AS211" t="s">
        <v>49</v>
      </c>
      <c r="AT211" t="s">
        <v>49</v>
      </c>
      <c r="AU211" s="5" t="s">
        <v>49</v>
      </c>
      <c r="AV211" t="s">
        <v>49</v>
      </c>
      <c r="AW211" t="s">
        <v>49</v>
      </c>
      <c r="AX211" t="s">
        <v>49</v>
      </c>
      <c r="AY211" t="s">
        <v>49</v>
      </c>
    </row>
    <row r="212" spans="1:51" ht="16.05" hidden="1" customHeight="1" x14ac:dyDescent="0.3">
      <c r="A212" s="2" t="s">
        <v>378</v>
      </c>
      <c r="B212" s="3" t="s">
        <v>180</v>
      </c>
      <c r="C212" s="16" t="s">
        <v>322</v>
      </c>
      <c r="D212" s="3" t="s">
        <v>101</v>
      </c>
      <c r="E212" s="3" t="s">
        <v>103</v>
      </c>
      <c r="F212" s="3" t="s">
        <v>102</v>
      </c>
      <c r="G212" s="5" t="s">
        <v>49</v>
      </c>
      <c r="H212" s="5" t="s">
        <v>49</v>
      </c>
      <c r="I212" s="6">
        <v>45331</v>
      </c>
      <c r="J212" s="3">
        <v>250000</v>
      </c>
      <c r="K212" s="6">
        <v>45560</v>
      </c>
      <c r="L212" s="18">
        <v>45536</v>
      </c>
      <c r="M212" s="6">
        <f t="shared" si="7"/>
        <v>45551</v>
      </c>
      <c r="N212" t="s">
        <v>49</v>
      </c>
      <c r="O212" t="s">
        <v>49</v>
      </c>
      <c r="P212">
        <v>0.5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49</v>
      </c>
      <c r="Y212" t="s">
        <v>49</v>
      </c>
      <c r="Z212" t="s">
        <v>49</v>
      </c>
      <c r="AA212" t="s">
        <v>49</v>
      </c>
      <c r="AB212" t="s">
        <v>49</v>
      </c>
      <c r="AC212" s="3">
        <v>0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49</v>
      </c>
      <c r="AN212" t="s">
        <v>49</v>
      </c>
      <c r="AO212" t="s">
        <v>49</v>
      </c>
      <c r="AP212" s="3">
        <v>0</v>
      </c>
      <c r="AQ212" t="s">
        <v>49</v>
      </c>
      <c r="AR212" t="s">
        <v>49</v>
      </c>
      <c r="AS212" t="s">
        <v>49</v>
      </c>
      <c r="AT212" t="s">
        <v>49</v>
      </c>
      <c r="AU212" s="5" t="s">
        <v>49</v>
      </c>
      <c r="AV212" t="s">
        <v>49</v>
      </c>
      <c r="AW212" t="s">
        <v>49</v>
      </c>
      <c r="AX212" t="s">
        <v>49</v>
      </c>
      <c r="AY212" t="s">
        <v>49</v>
      </c>
    </row>
    <row r="213" spans="1:51" ht="16.05" hidden="1" customHeight="1" x14ac:dyDescent="0.3">
      <c r="A213" s="2" t="s">
        <v>379</v>
      </c>
      <c r="B213" s="3" t="s">
        <v>123</v>
      </c>
      <c r="C213" s="7" t="s">
        <v>336</v>
      </c>
      <c r="D213" s="3" t="s">
        <v>101</v>
      </c>
      <c r="E213" s="3" t="s">
        <v>103</v>
      </c>
      <c r="F213" s="3" t="s">
        <v>102</v>
      </c>
      <c r="G213" s="5" t="s">
        <v>49</v>
      </c>
      <c r="H213" s="5" t="s">
        <v>49</v>
      </c>
      <c r="I213" s="6">
        <v>45572</v>
      </c>
      <c r="J213" t="s">
        <v>49</v>
      </c>
      <c r="K213" s="6">
        <v>45806</v>
      </c>
      <c r="L213" s="18">
        <v>45778</v>
      </c>
      <c r="M213" s="6">
        <f t="shared" si="7"/>
        <v>45793.5</v>
      </c>
      <c r="N213" t="s">
        <v>49</v>
      </c>
      <c r="O213" t="s">
        <v>49</v>
      </c>
      <c r="P213">
        <v>0.5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s="3">
        <v>0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49</v>
      </c>
      <c r="AM213" t="s">
        <v>49</v>
      </c>
      <c r="AN213" t="s">
        <v>49</v>
      </c>
      <c r="AO213" t="s">
        <v>49</v>
      </c>
      <c r="AP213" s="3">
        <v>0</v>
      </c>
      <c r="AQ213" t="s">
        <v>49</v>
      </c>
      <c r="AR213" t="s">
        <v>49</v>
      </c>
      <c r="AS213" t="s">
        <v>49</v>
      </c>
      <c r="AT213" t="s">
        <v>49</v>
      </c>
      <c r="AU213" s="5" t="s">
        <v>49</v>
      </c>
      <c r="AV213" t="s">
        <v>49</v>
      </c>
      <c r="AW213" t="s">
        <v>49</v>
      </c>
      <c r="AX213" t="s">
        <v>49</v>
      </c>
      <c r="AY213" t="s">
        <v>49</v>
      </c>
    </row>
    <row r="214" spans="1:51" ht="16.05" hidden="1" customHeight="1" x14ac:dyDescent="0.3">
      <c r="A214" s="2" t="s">
        <v>380</v>
      </c>
      <c r="B214" s="3" t="s">
        <v>131</v>
      </c>
      <c r="C214" s="16" t="s">
        <v>322</v>
      </c>
      <c r="D214" s="3" t="s">
        <v>101</v>
      </c>
      <c r="E214" s="3" t="s">
        <v>103</v>
      </c>
      <c r="F214" s="3" t="s">
        <v>102</v>
      </c>
      <c r="G214" s="5" t="s">
        <v>49</v>
      </c>
      <c r="H214" s="5" t="s">
        <v>49</v>
      </c>
      <c r="I214" s="6">
        <v>45500</v>
      </c>
      <c r="J214" s="3">
        <v>130000</v>
      </c>
      <c r="K214" s="6">
        <v>45582</v>
      </c>
      <c r="L214" s="18">
        <v>45566</v>
      </c>
      <c r="M214" s="6">
        <f t="shared" si="7"/>
        <v>45581.5</v>
      </c>
      <c r="N214" t="s">
        <v>49</v>
      </c>
      <c r="O214" t="s">
        <v>49</v>
      </c>
      <c r="P214">
        <v>0.5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  <c r="Y214" t="s">
        <v>49</v>
      </c>
      <c r="Z214" t="s">
        <v>49</v>
      </c>
      <c r="AA214" t="s">
        <v>49</v>
      </c>
      <c r="AB214" t="s">
        <v>49</v>
      </c>
      <c r="AC214" s="3">
        <v>0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49</v>
      </c>
      <c r="AL214" t="s">
        <v>49</v>
      </c>
      <c r="AM214" t="s">
        <v>49</v>
      </c>
      <c r="AN214" t="s">
        <v>49</v>
      </c>
      <c r="AO214" t="s">
        <v>49</v>
      </c>
      <c r="AP214" s="3">
        <v>0</v>
      </c>
      <c r="AQ214" t="s">
        <v>49</v>
      </c>
      <c r="AR214" t="s">
        <v>49</v>
      </c>
      <c r="AS214" t="s">
        <v>49</v>
      </c>
      <c r="AT214" t="s">
        <v>49</v>
      </c>
      <c r="AU214" s="5" t="s">
        <v>49</v>
      </c>
      <c r="AV214" t="s">
        <v>49</v>
      </c>
      <c r="AW214" t="s">
        <v>49</v>
      </c>
      <c r="AX214" t="s">
        <v>49</v>
      </c>
      <c r="AY214" t="s">
        <v>49</v>
      </c>
    </row>
    <row r="215" spans="1:51" ht="16.05" hidden="1" customHeight="1" x14ac:dyDescent="0.3">
      <c r="A215" s="2" t="s">
        <v>381</v>
      </c>
      <c r="B215" s="3" t="s">
        <v>131</v>
      </c>
      <c r="C215" s="16" t="s">
        <v>322</v>
      </c>
      <c r="D215" s="3" t="s">
        <v>101</v>
      </c>
      <c r="E215" s="3" t="s">
        <v>103</v>
      </c>
      <c r="F215" s="3" t="s">
        <v>102</v>
      </c>
      <c r="G215" s="5" t="s">
        <v>49</v>
      </c>
      <c r="H215" s="5" t="s">
        <v>49</v>
      </c>
      <c r="I215" s="6">
        <v>45379</v>
      </c>
      <c r="J215" s="3">
        <v>140000</v>
      </c>
      <c r="K215" s="6">
        <v>45582</v>
      </c>
      <c r="L215" s="18">
        <v>45566</v>
      </c>
      <c r="M215" s="6">
        <f t="shared" si="7"/>
        <v>45581.5</v>
      </c>
      <c r="N215" t="s">
        <v>49</v>
      </c>
      <c r="O215" t="s">
        <v>49</v>
      </c>
      <c r="P215">
        <v>0.5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s="3">
        <v>0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49</v>
      </c>
      <c r="AL215" t="s">
        <v>49</v>
      </c>
      <c r="AM215" t="s">
        <v>49</v>
      </c>
      <c r="AN215" t="s">
        <v>49</v>
      </c>
      <c r="AO215" t="s">
        <v>49</v>
      </c>
      <c r="AP215" s="3">
        <v>0</v>
      </c>
      <c r="AQ215" t="s">
        <v>49</v>
      </c>
      <c r="AR215" t="s">
        <v>49</v>
      </c>
      <c r="AS215" t="s">
        <v>49</v>
      </c>
      <c r="AT215" t="s">
        <v>49</v>
      </c>
      <c r="AU215" s="5" t="s">
        <v>49</v>
      </c>
      <c r="AV215" t="s">
        <v>49</v>
      </c>
      <c r="AW215" t="s">
        <v>49</v>
      </c>
      <c r="AX215" t="s">
        <v>49</v>
      </c>
      <c r="AY215" t="s">
        <v>49</v>
      </c>
    </row>
    <row r="216" spans="1:51" ht="16.05" hidden="1" customHeight="1" x14ac:dyDescent="0.3">
      <c r="A216" s="2" t="s">
        <v>382</v>
      </c>
      <c r="B216" s="3" t="s">
        <v>131</v>
      </c>
      <c r="C216" s="7" t="s">
        <v>336</v>
      </c>
      <c r="D216" s="3" t="s">
        <v>101</v>
      </c>
      <c r="E216" s="3" t="s">
        <v>103</v>
      </c>
      <c r="F216" s="3" t="s">
        <v>102</v>
      </c>
      <c r="G216" s="5" t="s">
        <v>49</v>
      </c>
      <c r="H216" s="5" t="s">
        <v>49</v>
      </c>
      <c r="I216" s="6">
        <v>45355</v>
      </c>
      <c r="J216" t="s">
        <v>49</v>
      </c>
      <c r="K216" s="6">
        <v>45806</v>
      </c>
      <c r="L216" s="18">
        <v>45778</v>
      </c>
      <c r="M216" s="6">
        <f t="shared" si="7"/>
        <v>45793.5</v>
      </c>
      <c r="N216" t="s">
        <v>49</v>
      </c>
      <c r="O216" t="s">
        <v>49</v>
      </c>
      <c r="P216">
        <v>0.5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s="3">
        <v>0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49</v>
      </c>
      <c r="AN216" t="s">
        <v>49</v>
      </c>
      <c r="AO216" t="s">
        <v>49</v>
      </c>
      <c r="AP216" s="3">
        <v>0</v>
      </c>
      <c r="AQ216" t="s">
        <v>49</v>
      </c>
      <c r="AR216" t="s">
        <v>49</v>
      </c>
      <c r="AS216" t="s">
        <v>49</v>
      </c>
      <c r="AT216" t="s">
        <v>49</v>
      </c>
      <c r="AU216" s="5" t="s">
        <v>49</v>
      </c>
      <c r="AV216" t="s">
        <v>49</v>
      </c>
      <c r="AW216" t="s">
        <v>49</v>
      </c>
      <c r="AX216" t="s">
        <v>49</v>
      </c>
      <c r="AY216" t="s">
        <v>49</v>
      </c>
    </row>
    <row r="217" spans="1:51" ht="16.05" hidden="1" customHeight="1" x14ac:dyDescent="0.3">
      <c r="A217" s="2" t="s">
        <v>383</v>
      </c>
      <c r="B217" s="3" t="s">
        <v>180</v>
      </c>
      <c r="C217" s="7" t="s">
        <v>336</v>
      </c>
      <c r="D217" s="3" t="s">
        <v>101</v>
      </c>
      <c r="E217" s="3" t="s">
        <v>103</v>
      </c>
      <c r="F217" s="3" t="s">
        <v>102</v>
      </c>
      <c r="G217" s="5" t="s">
        <v>49</v>
      </c>
      <c r="H217" s="5" t="s">
        <v>49</v>
      </c>
      <c r="I217" s="6">
        <v>45464</v>
      </c>
      <c r="J217" s="3">
        <v>120000</v>
      </c>
      <c r="K217" s="6">
        <v>45806</v>
      </c>
      <c r="L217" s="18">
        <v>45778</v>
      </c>
      <c r="M217" s="6">
        <f t="shared" si="7"/>
        <v>45793.5</v>
      </c>
      <c r="N217" t="s">
        <v>49</v>
      </c>
      <c r="O217" t="s">
        <v>49</v>
      </c>
      <c r="P217">
        <v>0.5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  <c r="Y217" t="s">
        <v>49</v>
      </c>
      <c r="Z217" t="s">
        <v>49</v>
      </c>
      <c r="AA217" t="s">
        <v>49</v>
      </c>
      <c r="AB217" t="s">
        <v>49</v>
      </c>
      <c r="AC217" s="3">
        <v>0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  <c r="AK217" t="s">
        <v>49</v>
      </c>
      <c r="AL217" t="s">
        <v>49</v>
      </c>
      <c r="AM217" t="s">
        <v>49</v>
      </c>
      <c r="AN217" t="s">
        <v>49</v>
      </c>
      <c r="AO217" t="s">
        <v>49</v>
      </c>
      <c r="AP217" s="3">
        <v>0</v>
      </c>
      <c r="AQ217" t="s">
        <v>49</v>
      </c>
      <c r="AR217" t="s">
        <v>49</v>
      </c>
      <c r="AS217" t="s">
        <v>49</v>
      </c>
      <c r="AT217" t="s">
        <v>49</v>
      </c>
      <c r="AU217" s="5" t="s">
        <v>49</v>
      </c>
      <c r="AV217" t="s">
        <v>49</v>
      </c>
      <c r="AW217" t="s">
        <v>49</v>
      </c>
      <c r="AX217" t="s">
        <v>49</v>
      </c>
      <c r="AY217" t="s">
        <v>49</v>
      </c>
    </row>
    <row r="218" spans="1:51" ht="16.05" hidden="1" customHeight="1" x14ac:dyDescent="0.3">
      <c r="A218" s="2" t="s">
        <v>384</v>
      </c>
      <c r="B218" s="3" t="s">
        <v>180</v>
      </c>
      <c r="C218" s="7" t="s">
        <v>336</v>
      </c>
      <c r="D218" s="3" t="s">
        <v>101</v>
      </c>
      <c r="E218" s="3" t="s">
        <v>103</v>
      </c>
      <c r="F218" s="3" t="s">
        <v>102</v>
      </c>
      <c r="G218" s="5" t="s">
        <v>49</v>
      </c>
      <c r="H218" s="5" t="s">
        <v>49</v>
      </c>
      <c r="I218" s="6">
        <v>45474</v>
      </c>
      <c r="J218" s="3">
        <v>40000</v>
      </c>
      <c r="K218" s="6">
        <v>45806</v>
      </c>
      <c r="L218" s="18">
        <v>45778</v>
      </c>
      <c r="M218" s="6">
        <f t="shared" si="7"/>
        <v>45793.5</v>
      </c>
      <c r="N218" t="s">
        <v>49</v>
      </c>
      <c r="O218" t="s">
        <v>49</v>
      </c>
      <c r="P218">
        <v>0.5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s="3">
        <v>0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49</v>
      </c>
      <c r="AL218" t="s">
        <v>49</v>
      </c>
      <c r="AM218" t="s">
        <v>49</v>
      </c>
      <c r="AN218" t="s">
        <v>49</v>
      </c>
      <c r="AO218" t="s">
        <v>49</v>
      </c>
      <c r="AP218" s="3">
        <v>0</v>
      </c>
      <c r="AQ218" t="s">
        <v>49</v>
      </c>
      <c r="AR218" t="s">
        <v>49</v>
      </c>
      <c r="AS218" t="s">
        <v>49</v>
      </c>
      <c r="AT218" t="s">
        <v>49</v>
      </c>
      <c r="AU218" s="5" t="s">
        <v>49</v>
      </c>
      <c r="AV218" t="s">
        <v>49</v>
      </c>
      <c r="AW218" t="s">
        <v>49</v>
      </c>
      <c r="AX218" t="s">
        <v>49</v>
      </c>
      <c r="AY218" t="s">
        <v>49</v>
      </c>
    </row>
    <row r="219" spans="1:51" ht="16.05" hidden="1" customHeight="1" x14ac:dyDescent="0.3">
      <c r="A219" s="2" t="s">
        <v>385</v>
      </c>
      <c r="B219" s="3" t="s">
        <v>180</v>
      </c>
      <c r="C219" s="7" t="s">
        <v>336</v>
      </c>
      <c r="D219" s="3" t="s">
        <v>101</v>
      </c>
      <c r="E219" s="3" t="s">
        <v>103</v>
      </c>
      <c r="F219" s="3" t="s">
        <v>102</v>
      </c>
      <c r="G219" s="5" t="s">
        <v>49</v>
      </c>
      <c r="H219" s="5" t="s">
        <v>49</v>
      </c>
      <c r="I219" s="6">
        <v>45474</v>
      </c>
      <c r="J219" t="s">
        <v>49</v>
      </c>
      <c r="K219" s="6">
        <v>45806</v>
      </c>
      <c r="L219" s="18">
        <v>45778</v>
      </c>
      <c r="M219" s="6">
        <f t="shared" si="7"/>
        <v>45793.5</v>
      </c>
      <c r="N219" t="s">
        <v>49</v>
      </c>
      <c r="O219" t="s">
        <v>49</v>
      </c>
      <c r="P219">
        <v>0.5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49</v>
      </c>
      <c r="Y219" t="s">
        <v>49</v>
      </c>
      <c r="Z219" t="s">
        <v>49</v>
      </c>
      <c r="AA219" t="s">
        <v>49</v>
      </c>
      <c r="AB219" t="s">
        <v>49</v>
      </c>
      <c r="AC219" s="3">
        <v>0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49</v>
      </c>
      <c r="AM219" t="s">
        <v>49</v>
      </c>
      <c r="AN219" t="s">
        <v>49</v>
      </c>
      <c r="AO219" t="s">
        <v>49</v>
      </c>
      <c r="AP219" s="3">
        <v>0</v>
      </c>
      <c r="AQ219" t="s">
        <v>49</v>
      </c>
      <c r="AR219" t="s">
        <v>49</v>
      </c>
      <c r="AS219" t="s">
        <v>49</v>
      </c>
      <c r="AT219" t="s">
        <v>49</v>
      </c>
      <c r="AU219" s="5" t="s">
        <v>49</v>
      </c>
      <c r="AV219" t="s">
        <v>49</v>
      </c>
      <c r="AW219" t="s">
        <v>49</v>
      </c>
      <c r="AX219" t="s">
        <v>49</v>
      </c>
      <c r="AY219" t="s">
        <v>49</v>
      </c>
    </row>
    <row r="220" spans="1:51" ht="16.05" hidden="1" customHeight="1" x14ac:dyDescent="0.3">
      <c r="A220" s="2" t="s">
        <v>386</v>
      </c>
      <c r="B220" s="3" t="s">
        <v>386</v>
      </c>
      <c r="C220" s="7" t="s">
        <v>336</v>
      </c>
      <c r="D220" s="3" t="s">
        <v>50</v>
      </c>
      <c r="E220" s="3" t="s">
        <v>53</v>
      </c>
      <c r="F220" s="3" t="s">
        <v>94</v>
      </c>
      <c r="G220" s="5" t="s">
        <v>49</v>
      </c>
      <c r="H220" s="5" t="s">
        <v>49</v>
      </c>
      <c r="I220" s="6">
        <v>45056</v>
      </c>
      <c r="J220" t="s">
        <v>49</v>
      </c>
      <c r="K220" s="6">
        <v>45806</v>
      </c>
      <c r="L220" s="18">
        <v>45778</v>
      </c>
      <c r="M220" s="6">
        <f t="shared" si="7"/>
        <v>45793.5</v>
      </c>
      <c r="N220" t="s">
        <v>49</v>
      </c>
      <c r="O220" t="s">
        <v>49</v>
      </c>
      <c r="P220">
        <v>0.5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s="3">
        <v>0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  <c r="AN220" t="s">
        <v>49</v>
      </c>
      <c r="AO220" t="s">
        <v>49</v>
      </c>
      <c r="AP220" s="3">
        <v>0</v>
      </c>
      <c r="AQ220" t="s">
        <v>49</v>
      </c>
      <c r="AR220" t="s">
        <v>49</v>
      </c>
      <c r="AS220" t="s">
        <v>49</v>
      </c>
      <c r="AT220" t="s">
        <v>49</v>
      </c>
      <c r="AU220" s="5" t="s">
        <v>49</v>
      </c>
      <c r="AV220" t="s">
        <v>49</v>
      </c>
      <c r="AW220" t="s">
        <v>49</v>
      </c>
      <c r="AX220" t="s">
        <v>49</v>
      </c>
      <c r="AY220" t="s">
        <v>49</v>
      </c>
    </row>
    <row r="221" spans="1:51" ht="16.05" hidden="1" customHeight="1" x14ac:dyDescent="0.3">
      <c r="A221" s="2" t="s">
        <v>387</v>
      </c>
      <c r="B221" s="3" t="s">
        <v>97</v>
      </c>
      <c r="C221" s="16" t="s">
        <v>322</v>
      </c>
      <c r="D221" s="3" t="s">
        <v>67</v>
      </c>
      <c r="E221" s="3" t="s">
        <v>57</v>
      </c>
      <c r="F221" s="3" t="s">
        <v>94</v>
      </c>
      <c r="G221" s="5" t="s">
        <v>49</v>
      </c>
      <c r="H221" s="5" t="s">
        <v>49</v>
      </c>
      <c r="I221" s="6">
        <v>45055</v>
      </c>
      <c r="J221" t="s">
        <v>49</v>
      </c>
      <c r="K221" s="6">
        <v>45331</v>
      </c>
      <c r="L221" s="18">
        <v>45323</v>
      </c>
      <c r="M221" s="6">
        <f t="shared" si="7"/>
        <v>45337.5</v>
      </c>
      <c r="N221" t="s">
        <v>49</v>
      </c>
      <c r="O221" t="s">
        <v>49</v>
      </c>
      <c r="P221">
        <v>0.5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s="3">
        <v>0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  <c r="AN221" t="s">
        <v>49</v>
      </c>
      <c r="AO221" t="s">
        <v>49</v>
      </c>
      <c r="AP221" s="3">
        <v>0</v>
      </c>
      <c r="AQ221" t="s">
        <v>49</v>
      </c>
      <c r="AR221" t="s">
        <v>49</v>
      </c>
      <c r="AS221" t="s">
        <v>49</v>
      </c>
      <c r="AT221" t="s">
        <v>49</v>
      </c>
      <c r="AU221" s="5" t="s">
        <v>49</v>
      </c>
      <c r="AV221" t="s">
        <v>49</v>
      </c>
      <c r="AW221" t="s">
        <v>49</v>
      </c>
      <c r="AX221" t="s">
        <v>49</v>
      </c>
      <c r="AY221" t="s">
        <v>49</v>
      </c>
    </row>
    <row r="222" spans="1:51" ht="16.05" hidden="1" customHeight="1" x14ac:dyDescent="0.3">
      <c r="A222" s="2" t="s">
        <v>388</v>
      </c>
      <c r="B222" s="3" t="s">
        <v>389</v>
      </c>
      <c r="C222" s="16" t="s">
        <v>322</v>
      </c>
      <c r="D222" s="3" t="s">
        <v>67</v>
      </c>
      <c r="E222" s="3" t="s">
        <v>57</v>
      </c>
      <c r="F222" s="3" t="s">
        <v>327</v>
      </c>
      <c r="G222" s="5" t="s">
        <v>49</v>
      </c>
      <c r="H222" s="5" t="s">
        <v>49</v>
      </c>
      <c r="I222" s="6">
        <v>45176</v>
      </c>
      <c r="J222" s="3">
        <v>50000</v>
      </c>
      <c r="K222" s="6">
        <v>45331</v>
      </c>
      <c r="L222" s="18">
        <v>45323</v>
      </c>
      <c r="M222" s="6">
        <f t="shared" si="7"/>
        <v>45337.5</v>
      </c>
      <c r="N222" t="s">
        <v>49</v>
      </c>
      <c r="O222" t="s">
        <v>49</v>
      </c>
      <c r="P222">
        <v>0.5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49</v>
      </c>
      <c r="Y222" t="s">
        <v>49</v>
      </c>
      <c r="Z222" t="s">
        <v>49</v>
      </c>
      <c r="AA222" t="s">
        <v>49</v>
      </c>
      <c r="AB222" t="s">
        <v>49</v>
      </c>
      <c r="AC222" s="3">
        <v>0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  <c r="AN222" t="s">
        <v>49</v>
      </c>
      <c r="AO222" t="s">
        <v>49</v>
      </c>
      <c r="AP222" s="3">
        <v>0</v>
      </c>
      <c r="AQ222" t="s">
        <v>49</v>
      </c>
      <c r="AR222" t="s">
        <v>49</v>
      </c>
      <c r="AS222" t="s">
        <v>49</v>
      </c>
      <c r="AT222" t="s">
        <v>49</v>
      </c>
      <c r="AU222" s="5" t="s">
        <v>49</v>
      </c>
      <c r="AV222" t="s">
        <v>49</v>
      </c>
      <c r="AW222" t="s">
        <v>49</v>
      </c>
      <c r="AX222" t="s">
        <v>49</v>
      </c>
      <c r="AY222" t="s">
        <v>49</v>
      </c>
    </row>
    <row r="223" spans="1:51" ht="16.05" hidden="1" customHeight="1" x14ac:dyDescent="0.3">
      <c r="A223" s="2" t="s">
        <v>390</v>
      </c>
      <c r="B223" s="3" t="s">
        <v>391</v>
      </c>
      <c r="C223" s="16" t="s">
        <v>322</v>
      </c>
      <c r="D223" s="3" t="s">
        <v>67</v>
      </c>
      <c r="E223" s="3" t="s">
        <v>57</v>
      </c>
      <c r="F223" s="3" t="s">
        <v>327</v>
      </c>
      <c r="G223" s="5" t="s">
        <v>49</v>
      </c>
      <c r="H223" s="5" t="s">
        <v>49</v>
      </c>
      <c r="I223" s="6">
        <v>45086</v>
      </c>
      <c r="J223" s="3">
        <v>25000</v>
      </c>
      <c r="K223" s="6">
        <v>45337</v>
      </c>
      <c r="L223" s="18">
        <v>45323</v>
      </c>
      <c r="M223" s="6">
        <f t="shared" si="7"/>
        <v>45337.5</v>
      </c>
      <c r="N223" t="s">
        <v>49</v>
      </c>
      <c r="O223" t="s">
        <v>49</v>
      </c>
      <c r="P223">
        <v>0.5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s="3">
        <v>0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  <c r="AN223" t="s">
        <v>49</v>
      </c>
      <c r="AO223" t="s">
        <v>49</v>
      </c>
      <c r="AP223" s="3">
        <v>0</v>
      </c>
      <c r="AQ223" t="s">
        <v>49</v>
      </c>
      <c r="AR223" t="s">
        <v>49</v>
      </c>
      <c r="AS223" t="s">
        <v>49</v>
      </c>
      <c r="AT223" t="s">
        <v>49</v>
      </c>
      <c r="AU223" s="5" t="s">
        <v>49</v>
      </c>
      <c r="AV223" t="s">
        <v>49</v>
      </c>
      <c r="AW223" t="s">
        <v>49</v>
      </c>
      <c r="AX223" t="s">
        <v>49</v>
      </c>
      <c r="AY223" t="s">
        <v>49</v>
      </c>
    </row>
    <row r="224" spans="1:51" ht="16.05" hidden="1" customHeight="1" x14ac:dyDescent="0.3">
      <c r="A224" s="2" t="s">
        <v>392</v>
      </c>
      <c r="B224" s="3" t="s">
        <v>393</v>
      </c>
      <c r="C224" s="16" t="s">
        <v>322</v>
      </c>
      <c r="D224" s="3" t="s">
        <v>67</v>
      </c>
      <c r="E224" s="3" t="s">
        <v>57</v>
      </c>
      <c r="F224" s="3" t="s">
        <v>327</v>
      </c>
      <c r="G224" s="5" t="s">
        <v>49</v>
      </c>
      <c r="H224" s="5" t="s">
        <v>49</v>
      </c>
      <c r="I224" s="6">
        <v>45152</v>
      </c>
      <c r="J224" s="3">
        <v>10000</v>
      </c>
      <c r="K224" s="6">
        <v>45338</v>
      </c>
      <c r="L224" s="18">
        <v>45323</v>
      </c>
      <c r="M224" s="6">
        <f t="shared" si="7"/>
        <v>45337.5</v>
      </c>
      <c r="N224" t="s">
        <v>49</v>
      </c>
      <c r="O224" t="s">
        <v>49</v>
      </c>
      <c r="P224">
        <v>0.5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s="3">
        <v>0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  <c r="AN224" t="s">
        <v>49</v>
      </c>
      <c r="AO224" t="s">
        <v>49</v>
      </c>
      <c r="AP224" s="3">
        <v>0</v>
      </c>
      <c r="AQ224" t="s">
        <v>49</v>
      </c>
      <c r="AR224" t="s">
        <v>49</v>
      </c>
      <c r="AS224" t="s">
        <v>49</v>
      </c>
      <c r="AT224" t="s">
        <v>49</v>
      </c>
      <c r="AU224" s="5" t="s">
        <v>49</v>
      </c>
      <c r="AV224" t="s">
        <v>49</v>
      </c>
      <c r="AW224" t="s">
        <v>49</v>
      </c>
      <c r="AX224" t="s">
        <v>49</v>
      </c>
      <c r="AY224" t="s">
        <v>49</v>
      </c>
    </row>
    <row r="225" spans="1:51" ht="16.05" hidden="1" customHeight="1" x14ac:dyDescent="0.3">
      <c r="A225" s="2" t="s">
        <v>394</v>
      </c>
      <c r="B225" s="3" t="s">
        <v>140</v>
      </c>
      <c r="C225" s="7" t="s">
        <v>336</v>
      </c>
      <c r="D225" s="3" t="s">
        <v>101</v>
      </c>
      <c r="E225" s="3" t="s">
        <v>103</v>
      </c>
      <c r="F225" s="3" t="s">
        <v>94</v>
      </c>
      <c r="G225" s="5" t="s">
        <v>49</v>
      </c>
      <c r="H225" s="5" t="s">
        <v>49</v>
      </c>
      <c r="I225" s="6">
        <v>45510</v>
      </c>
      <c r="J225" s="3">
        <v>148500</v>
      </c>
      <c r="K225" s="6">
        <v>45806</v>
      </c>
      <c r="L225" s="18">
        <v>45778</v>
      </c>
      <c r="M225" s="6">
        <f t="shared" si="7"/>
        <v>45793.5</v>
      </c>
      <c r="N225" t="s">
        <v>49</v>
      </c>
      <c r="O225" t="s">
        <v>49</v>
      </c>
      <c r="P225">
        <v>0.5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 t="s">
        <v>49</v>
      </c>
      <c r="Z225" t="s">
        <v>49</v>
      </c>
      <c r="AA225" t="s">
        <v>49</v>
      </c>
      <c r="AB225" t="s">
        <v>49</v>
      </c>
      <c r="AC225" s="3">
        <v>0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49</v>
      </c>
      <c r="AL225" t="s">
        <v>49</v>
      </c>
      <c r="AM225" t="s">
        <v>49</v>
      </c>
      <c r="AN225" t="s">
        <v>49</v>
      </c>
      <c r="AO225" t="s">
        <v>49</v>
      </c>
      <c r="AP225" s="3">
        <v>0</v>
      </c>
      <c r="AQ225" t="s">
        <v>49</v>
      </c>
      <c r="AR225" t="s">
        <v>49</v>
      </c>
      <c r="AS225" t="s">
        <v>49</v>
      </c>
      <c r="AT225" t="s">
        <v>49</v>
      </c>
      <c r="AU225" s="5" t="s">
        <v>49</v>
      </c>
      <c r="AV225" t="s">
        <v>49</v>
      </c>
      <c r="AW225" t="s">
        <v>49</v>
      </c>
      <c r="AX225" t="s">
        <v>49</v>
      </c>
      <c r="AY225" t="s">
        <v>49</v>
      </c>
    </row>
    <row r="226" spans="1:51" ht="16.05" hidden="1" customHeight="1" x14ac:dyDescent="0.3">
      <c r="A226" s="2" t="s">
        <v>395</v>
      </c>
      <c r="B226" s="3" t="s">
        <v>131</v>
      </c>
      <c r="C226" s="16" t="s">
        <v>322</v>
      </c>
      <c r="D226" s="3" t="s">
        <v>101</v>
      </c>
      <c r="E226" s="3" t="s">
        <v>103</v>
      </c>
      <c r="F226" s="3" t="s">
        <v>102</v>
      </c>
      <c r="G226" s="5" t="s">
        <v>49</v>
      </c>
      <c r="H226" s="5" t="s">
        <v>49</v>
      </c>
      <c r="I226" s="6">
        <v>45500</v>
      </c>
      <c r="J226" s="3">
        <v>130000</v>
      </c>
      <c r="K226" s="6">
        <v>45609</v>
      </c>
      <c r="L226" s="18">
        <v>45597</v>
      </c>
      <c r="M226" s="6">
        <f t="shared" si="7"/>
        <v>45612</v>
      </c>
      <c r="N226" t="s">
        <v>49</v>
      </c>
      <c r="O226" t="s">
        <v>49</v>
      </c>
      <c r="P226">
        <v>0.5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49</v>
      </c>
      <c r="Z226" t="s">
        <v>49</v>
      </c>
      <c r="AA226" t="s">
        <v>49</v>
      </c>
      <c r="AB226" t="s">
        <v>49</v>
      </c>
      <c r="AC226" s="3">
        <v>0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49</v>
      </c>
      <c r="AL226" t="s">
        <v>49</v>
      </c>
      <c r="AM226" t="s">
        <v>49</v>
      </c>
      <c r="AN226" t="s">
        <v>49</v>
      </c>
      <c r="AO226" t="s">
        <v>49</v>
      </c>
      <c r="AP226" s="3">
        <v>0</v>
      </c>
      <c r="AQ226" t="s">
        <v>49</v>
      </c>
      <c r="AR226" t="s">
        <v>49</v>
      </c>
      <c r="AS226" t="s">
        <v>49</v>
      </c>
      <c r="AT226" t="s">
        <v>49</v>
      </c>
      <c r="AU226" s="5" t="s">
        <v>49</v>
      </c>
      <c r="AV226" t="s">
        <v>49</v>
      </c>
      <c r="AW226" t="s">
        <v>49</v>
      </c>
      <c r="AX226" t="s">
        <v>49</v>
      </c>
      <c r="AY226" t="s">
        <v>49</v>
      </c>
    </row>
    <row r="227" spans="1:51" ht="16.05" hidden="1" customHeight="1" x14ac:dyDescent="0.3">
      <c r="A227" s="2" t="s">
        <v>396</v>
      </c>
      <c r="B227" s="2" t="s">
        <v>396</v>
      </c>
      <c r="C227" s="16" t="s">
        <v>322</v>
      </c>
      <c r="D227" s="3" t="s">
        <v>67</v>
      </c>
      <c r="E227" s="3" t="s">
        <v>57</v>
      </c>
      <c r="F227" s="3" t="s">
        <v>91</v>
      </c>
      <c r="G227" s="5" t="s">
        <v>49</v>
      </c>
      <c r="H227" s="5" t="s">
        <v>49</v>
      </c>
      <c r="I227" s="6">
        <v>45582</v>
      </c>
      <c r="J227" s="3">
        <v>83200</v>
      </c>
      <c r="K227" s="6">
        <v>45616</v>
      </c>
      <c r="L227" s="18">
        <v>45597</v>
      </c>
      <c r="M227" s="6">
        <f t="shared" si="7"/>
        <v>45612</v>
      </c>
      <c r="N227" t="s">
        <v>49</v>
      </c>
      <c r="O227" t="s">
        <v>49</v>
      </c>
      <c r="P227">
        <v>0.5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s="3">
        <v>0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49</v>
      </c>
      <c r="AM227" t="s">
        <v>49</v>
      </c>
      <c r="AN227" t="s">
        <v>49</v>
      </c>
      <c r="AO227" t="s">
        <v>49</v>
      </c>
      <c r="AP227" s="3">
        <v>0</v>
      </c>
      <c r="AQ227" t="s">
        <v>49</v>
      </c>
      <c r="AR227" t="s">
        <v>49</v>
      </c>
      <c r="AS227" t="s">
        <v>49</v>
      </c>
      <c r="AT227" t="s">
        <v>49</v>
      </c>
      <c r="AU227" s="5" t="s">
        <v>49</v>
      </c>
      <c r="AV227" t="s">
        <v>49</v>
      </c>
      <c r="AW227" t="s">
        <v>49</v>
      </c>
      <c r="AX227" t="s">
        <v>49</v>
      </c>
      <c r="AY227" t="s">
        <v>49</v>
      </c>
    </row>
    <row r="228" spans="1:51" ht="16.05" hidden="1" customHeight="1" x14ac:dyDescent="0.3">
      <c r="A228" s="2" t="s">
        <v>397</v>
      </c>
      <c r="B228" s="3" t="s">
        <v>131</v>
      </c>
      <c r="C228" s="7" t="s">
        <v>336</v>
      </c>
      <c r="D228" s="3" t="s">
        <v>101</v>
      </c>
      <c r="E228" s="3" t="s">
        <v>103</v>
      </c>
      <c r="F228" s="3" t="s">
        <v>102</v>
      </c>
      <c r="G228" s="5" t="s">
        <v>49</v>
      </c>
      <c r="H228" s="5" t="s">
        <v>49</v>
      </c>
      <c r="I228" s="6">
        <v>45561</v>
      </c>
      <c r="J228" s="3">
        <v>120000</v>
      </c>
      <c r="K228" s="6">
        <v>45806</v>
      </c>
      <c r="L228" s="18">
        <v>45778</v>
      </c>
      <c r="M228" s="6">
        <f t="shared" si="7"/>
        <v>45793.5</v>
      </c>
      <c r="N228" t="s">
        <v>49</v>
      </c>
      <c r="O228" t="s">
        <v>49</v>
      </c>
      <c r="P228">
        <v>0.5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s="3">
        <v>0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49</v>
      </c>
      <c r="AL228" t="s">
        <v>49</v>
      </c>
      <c r="AM228" t="s">
        <v>49</v>
      </c>
      <c r="AN228" t="s">
        <v>49</v>
      </c>
      <c r="AO228" t="s">
        <v>49</v>
      </c>
      <c r="AP228" s="3">
        <v>0</v>
      </c>
      <c r="AQ228" t="s">
        <v>49</v>
      </c>
      <c r="AR228" t="s">
        <v>49</v>
      </c>
      <c r="AS228" t="s">
        <v>49</v>
      </c>
      <c r="AT228" t="s">
        <v>49</v>
      </c>
      <c r="AU228" s="5" t="s">
        <v>49</v>
      </c>
      <c r="AV228" t="s">
        <v>49</v>
      </c>
      <c r="AW228" t="s">
        <v>49</v>
      </c>
      <c r="AX228" t="s">
        <v>49</v>
      </c>
      <c r="AY228" t="s">
        <v>49</v>
      </c>
    </row>
    <row r="229" spans="1:51" ht="16.05" hidden="1" customHeight="1" x14ac:dyDescent="0.3">
      <c r="A229" s="2" t="s">
        <v>398</v>
      </c>
      <c r="B229" s="2" t="s">
        <v>484</v>
      </c>
      <c r="C229" s="16" t="s">
        <v>322</v>
      </c>
      <c r="D229" s="3" t="s">
        <v>67</v>
      </c>
      <c r="E229" s="3" t="s">
        <v>79</v>
      </c>
      <c r="F229" s="3" t="s">
        <v>91</v>
      </c>
      <c r="G229" s="5" t="s">
        <v>49</v>
      </c>
      <c r="H229" s="5" t="s">
        <v>49</v>
      </c>
      <c r="I229" s="6">
        <v>45588</v>
      </c>
      <c r="J229" t="s">
        <v>49</v>
      </c>
      <c r="K229" s="6">
        <v>45636</v>
      </c>
      <c r="L229" s="18">
        <v>45627</v>
      </c>
      <c r="M229" s="6">
        <f t="shared" si="7"/>
        <v>45642.5</v>
      </c>
      <c r="N229" t="s">
        <v>49</v>
      </c>
      <c r="O229" t="s">
        <v>49</v>
      </c>
      <c r="P229">
        <v>0.5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s="3">
        <v>0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49</v>
      </c>
      <c r="AM229" t="s">
        <v>49</v>
      </c>
      <c r="AN229" t="s">
        <v>49</v>
      </c>
      <c r="AO229" t="s">
        <v>49</v>
      </c>
      <c r="AP229" s="3">
        <v>0</v>
      </c>
      <c r="AQ229" t="s">
        <v>49</v>
      </c>
      <c r="AR229" t="s">
        <v>49</v>
      </c>
      <c r="AS229" t="s">
        <v>49</v>
      </c>
      <c r="AT229" t="s">
        <v>49</v>
      </c>
      <c r="AU229" s="5" t="s">
        <v>49</v>
      </c>
      <c r="AV229" t="s">
        <v>49</v>
      </c>
      <c r="AW229" t="s">
        <v>49</v>
      </c>
      <c r="AX229" t="s">
        <v>49</v>
      </c>
      <c r="AY229" t="s">
        <v>49</v>
      </c>
    </row>
    <row r="230" spans="1:51" ht="16.05" hidden="1" customHeight="1" x14ac:dyDescent="0.3">
      <c r="A230" s="2" t="s">
        <v>399</v>
      </c>
      <c r="B230" s="3" t="s">
        <v>400</v>
      </c>
      <c r="C230" s="16" t="s">
        <v>322</v>
      </c>
      <c r="D230" s="3" t="s">
        <v>101</v>
      </c>
      <c r="E230" s="3" t="s">
        <v>103</v>
      </c>
      <c r="F230" s="3" t="s">
        <v>102</v>
      </c>
      <c r="G230" s="5" t="s">
        <v>49</v>
      </c>
      <c r="H230" s="5" t="s">
        <v>49</v>
      </c>
      <c r="I230" s="6">
        <v>45533</v>
      </c>
      <c r="J230" s="3">
        <v>250000</v>
      </c>
      <c r="K230" s="6">
        <v>45636</v>
      </c>
      <c r="L230" s="18">
        <v>45627</v>
      </c>
      <c r="M230" s="6">
        <f t="shared" si="7"/>
        <v>45642.5</v>
      </c>
      <c r="N230" t="s">
        <v>49</v>
      </c>
      <c r="O230" t="s">
        <v>49</v>
      </c>
      <c r="P230">
        <v>0.5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  <c r="AB230" t="s">
        <v>49</v>
      </c>
      <c r="AC230" s="3">
        <v>0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49</v>
      </c>
      <c r="AL230" t="s">
        <v>49</v>
      </c>
      <c r="AM230" t="s">
        <v>49</v>
      </c>
      <c r="AN230" t="s">
        <v>49</v>
      </c>
      <c r="AO230" t="s">
        <v>49</v>
      </c>
      <c r="AP230" s="3">
        <v>0</v>
      </c>
      <c r="AQ230" t="s">
        <v>49</v>
      </c>
      <c r="AR230" t="s">
        <v>49</v>
      </c>
      <c r="AS230" t="s">
        <v>49</v>
      </c>
      <c r="AT230" t="s">
        <v>49</v>
      </c>
      <c r="AU230" s="5" t="s">
        <v>49</v>
      </c>
      <c r="AV230" t="s">
        <v>49</v>
      </c>
      <c r="AW230" t="s">
        <v>49</v>
      </c>
      <c r="AX230" t="s">
        <v>49</v>
      </c>
      <c r="AY230" t="s">
        <v>49</v>
      </c>
    </row>
    <row r="231" spans="1:51" ht="16.05" hidden="1" customHeight="1" x14ac:dyDescent="0.3">
      <c r="A231" s="2" t="s">
        <v>401</v>
      </c>
      <c r="B231" s="3" t="s">
        <v>402</v>
      </c>
      <c r="C231" s="16" t="s">
        <v>322</v>
      </c>
      <c r="D231" s="3" t="s">
        <v>67</v>
      </c>
      <c r="E231" s="3" t="s">
        <v>57</v>
      </c>
      <c r="F231" s="3" t="s">
        <v>91</v>
      </c>
      <c r="G231" s="5" t="s">
        <v>49</v>
      </c>
      <c r="H231" s="5" t="s">
        <v>49</v>
      </c>
      <c r="I231" s="6">
        <v>45495</v>
      </c>
      <c r="J231" s="3">
        <v>10000</v>
      </c>
      <c r="K231" s="6">
        <v>45709</v>
      </c>
      <c r="L231" s="18">
        <v>45689</v>
      </c>
      <c r="M231" s="6">
        <f t="shared" si="7"/>
        <v>45703</v>
      </c>
      <c r="N231" t="s">
        <v>49</v>
      </c>
      <c r="O231" t="s">
        <v>49</v>
      </c>
      <c r="P231">
        <v>0.5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s="3">
        <v>0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49</v>
      </c>
      <c r="AL231" t="s">
        <v>49</v>
      </c>
      <c r="AM231" t="s">
        <v>49</v>
      </c>
      <c r="AN231" t="s">
        <v>49</v>
      </c>
      <c r="AO231" t="s">
        <v>49</v>
      </c>
      <c r="AP231" s="3">
        <v>0</v>
      </c>
      <c r="AQ231" t="s">
        <v>49</v>
      </c>
      <c r="AR231" t="s">
        <v>49</v>
      </c>
      <c r="AS231" t="s">
        <v>49</v>
      </c>
      <c r="AT231" t="s">
        <v>49</v>
      </c>
      <c r="AU231" s="5" t="s">
        <v>49</v>
      </c>
      <c r="AV231" t="s">
        <v>49</v>
      </c>
      <c r="AW231" t="s">
        <v>49</v>
      </c>
      <c r="AX231" t="s">
        <v>49</v>
      </c>
      <c r="AY231" t="s">
        <v>49</v>
      </c>
    </row>
    <row r="232" spans="1:51" ht="16.05" hidden="1" customHeight="1" x14ac:dyDescent="0.3">
      <c r="A232" s="2" t="s">
        <v>403</v>
      </c>
      <c r="B232" s="3" t="s">
        <v>100</v>
      </c>
      <c r="C232" s="16" t="s">
        <v>322</v>
      </c>
      <c r="D232" s="3" t="s">
        <v>101</v>
      </c>
      <c r="E232" s="3" t="s">
        <v>103</v>
      </c>
      <c r="F232" s="3" t="s">
        <v>102</v>
      </c>
      <c r="G232" s="5" t="s">
        <v>49</v>
      </c>
      <c r="H232" s="5" t="s">
        <v>49</v>
      </c>
      <c r="I232" s="6">
        <v>45676</v>
      </c>
      <c r="J232" s="3">
        <v>120000</v>
      </c>
      <c r="K232" s="6">
        <v>45712</v>
      </c>
      <c r="L232" s="18">
        <v>45689</v>
      </c>
      <c r="M232" s="6">
        <f t="shared" si="7"/>
        <v>45703</v>
      </c>
      <c r="N232" t="s">
        <v>49</v>
      </c>
      <c r="O232" t="s">
        <v>49</v>
      </c>
      <c r="P232">
        <v>0.5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s="3">
        <v>0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49</v>
      </c>
      <c r="AL232" t="s">
        <v>49</v>
      </c>
      <c r="AM232" t="s">
        <v>49</v>
      </c>
      <c r="AN232" t="s">
        <v>49</v>
      </c>
      <c r="AO232" t="s">
        <v>49</v>
      </c>
      <c r="AP232" s="3">
        <v>0</v>
      </c>
      <c r="AQ232" t="s">
        <v>49</v>
      </c>
      <c r="AR232" t="s">
        <v>49</v>
      </c>
      <c r="AS232" t="s">
        <v>49</v>
      </c>
      <c r="AT232" t="s">
        <v>49</v>
      </c>
      <c r="AU232" s="5" t="s">
        <v>49</v>
      </c>
      <c r="AV232" t="s">
        <v>49</v>
      </c>
      <c r="AW232" t="s">
        <v>49</v>
      </c>
      <c r="AX232" t="s">
        <v>49</v>
      </c>
      <c r="AY232" t="s">
        <v>49</v>
      </c>
    </row>
    <row r="233" spans="1:51" ht="16.05" hidden="1" customHeight="1" x14ac:dyDescent="0.3">
      <c r="A233" s="2" t="s">
        <v>404</v>
      </c>
      <c r="B233" s="3" t="s">
        <v>100</v>
      </c>
      <c r="C233" s="7" t="s">
        <v>336</v>
      </c>
      <c r="D233" s="3" t="s">
        <v>101</v>
      </c>
      <c r="E233" s="3" t="s">
        <v>103</v>
      </c>
      <c r="F233" s="3" t="s">
        <v>102</v>
      </c>
      <c r="G233" s="5" t="s">
        <v>49</v>
      </c>
      <c r="H233" s="5" t="s">
        <v>49</v>
      </c>
      <c r="I233" s="6">
        <v>45692</v>
      </c>
      <c r="J233" s="3">
        <v>130000</v>
      </c>
      <c r="K233" s="6">
        <v>45806</v>
      </c>
      <c r="L233" s="18">
        <v>45778</v>
      </c>
      <c r="M233" s="6">
        <f t="shared" si="7"/>
        <v>45793.5</v>
      </c>
      <c r="N233" t="s">
        <v>49</v>
      </c>
      <c r="O233" t="s">
        <v>49</v>
      </c>
      <c r="P233">
        <v>0.5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s="3">
        <v>0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49</v>
      </c>
      <c r="AL233" t="s">
        <v>49</v>
      </c>
      <c r="AM233" t="s">
        <v>49</v>
      </c>
      <c r="AN233" t="s">
        <v>49</v>
      </c>
      <c r="AO233" t="s">
        <v>49</v>
      </c>
      <c r="AP233" s="3">
        <v>0</v>
      </c>
      <c r="AQ233" t="s">
        <v>49</v>
      </c>
      <c r="AR233" t="s">
        <v>49</v>
      </c>
      <c r="AS233" t="s">
        <v>49</v>
      </c>
      <c r="AT233" t="s">
        <v>49</v>
      </c>
      <c r="AU233" s="5" t="s">
        <v>49</v>
      </c>
      <c r="AV233" t="s">
        <v>49</v>
      </c>
      <c r="AW233" t="s">
        <v>49</v>
      </c>
      <c r="AX233" t="s">
        <v>49</v>
      </c>
      <c r="AY233" t="s">
        <v>49</v>
      </c>
    </row>
    <row r="234" spans="1:51" ht="16.05" hidden="1" customHeight="1" x14ac:dyDescent="0.3">
      <c r="A234" s="2" t="s">
        <v>143</v>
      </c>
      <c r="B234" s="3" t="s">
        <v>143</v>
      </c>
      <c r="C234" s="7" t="s">
        <v>336</v>
      </c>
      <c r="D234" s="3" t="s">
        <v>101</v>
      </c>
      <c r="E234" s="3" t="s">
        <v>103</v>
      </c>
      <c r="F234" s="3" t="s">
        <v>94</v>
      </c>
      <c r="G234" s="5" t="s">
        <v>49</v>
      </c>
      <c r="H234" s="5" t="s">
        <v>49</v>
      </c>
      <c r="I234" s="6">
        <v>45132</v>
      </c>
      <c r="J234" t="s">
        <v>49</v>
      </c>
      <c r="K234" s="6">
        <v>45806</v>
      </c>
      <c r="L234" s="18">
        <v>45778</v>
      </c>
      <c r="M234" s="6">
        <f t="shared" si="7"/>
        <v>45793.5</v>
      </c>
      <c r="N234" t="s">
        <v>49</v>
      </c>
      <c r="O234" t="s">
        <v>49</v>
      </c>
      <c r="P234">
        <v>0.5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s="3">
        <v>0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49</v>
      </c>
      <c r="AM234" t="s">
        <v>49</v>
      </c>
      <c r="AN234" t="s">
        <v>49</v>
      </c>
      <c r="AO234" t="s">
        <v>49</v>
      </c>
      <c r="AP234" s="3">
        <v>0</v>
      </c>
      <c r="AQ234" t="s">
        <v>49</v>
      </c>
      <c r="AR234" t="s">
        <v>49</v>
      </c>
      <c r="AS234" t="s">
        <v>49</v>
      </c>
      <c r="AT234" t="s">
        <v>49</v>
      </c>
      <c r="AU234" s="5" t="s">
        <v>49</v>
      </c>
      <c r="AV234" t="s">
        <v>49</v>
      </c>
      <c r="AW234" t="s">
        <v>49</v>
      </c>
      <c r="AX234" t="s">
        <v>49</v>
      </c>
      <c r="AY234" t="s">
        <v>49</v>
      </c>
    </row>
    <row r="235" spans="1:51" ht="16.05" hidden="1" customHeight="1" x14ac:dyDescent="0.3">
      <c r="A235" s="2" t="s">
        <v>405</v>
      </c>
      <c r="B235" s="3" t="s">
        <v>406</v>
      </c>
      <c r="C235" s="7" t="s">
        <v>336</v>
      </c>
      <c r="D235" s="3" t="s">
        <v>101</v>
      </c>
      <c r="E235" s="3" t="s">
        <v>103</v>
      </c>
      <c r="F235" s="3" t="s">
        <v>94</v>
      </c>
      <c r="G235" s="5" t="s">
        <v>49</v>
      </c>
      <c r="H235" s="5" t="s">
        <v>49</v>
      </c>
      <c r="I235" s="6">
        <v>45390</v>
      </c>
      <c r="J235" t="s">
        <v>49</v>
      </c>
      <c r="K235" s="6">
        <v>45806</v>
      </c>
      <c r="L235" s="18">
        <v>45778</v>
      </c>
      <c r="M235" s="6">
        <f t="shared" si="7"/>
        <v>45793.5</v>
      </c>
      <c r="N235" t="s">
        <v>49</v>
      </c>
      <c r="O235" t="s">
        <v>49</v>
      </c>
      <c r="P235">
        <v>0.5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s="3">
        <v>0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49</v>
      </c>
      <c r="AL235" t="s">
        <v>49</v>
      </c>
      <c r="AM235" t="s">
        <v>49</v>
      </c>
      <c r="AN235" t="s">
        <v>49</v>
      </c>
      <c r="AO235" t="s">
        <v>49</v>
      </c>
      <c r="AP235" s="3">
        <v>0</v>
      </c>
      <c r="AQ235" t="s">
        <v>49</v>
      </c>
      <c r="AR235" t="s">
        <v>49</v>
      </c>
      <c r="AS235" t="s">
        <v>49</v>
      </c>
      <c r="AT235" t="s">
        <v>49</v>
      </c>
      <c r="AU235" s="5" t="s">
        <v>49</v>
      </c>
      <c r="AV235" t="s">
        <v>49</v>
      </c>
      <c r="AW235" t="s">
        <v>49</v>
      </c>
      <c r="AX235" t="s">
        <v>49</v>
      </c>
      <c r="AY235" t="s">
        <v>49</v>
      </c>
    </row>
    <row r="236" spans="1:51" ht="16.05" hidden="1" customHeight="1" x14ac:dyDescent="0.3">
      <c r="A236" s="2" t="s">
        <v>407</v>
      </c>
      <c r="B236" s="3" t="s">
        <v>408</v>
      </c>
      <c r="C236" s="7" t="s">
        <v>336</v>
      </c>
      <c r="D236" s="3" t="s">
        <v>50</v>
      </c>
      <c r="E236" s="3" t="s">
        <v>53</v>
      </c>
      <c r="F236" s="3" t="s">
        <v>121</v>
      </c>
      <c r="G236" s="5" t="s">
        <v>49</v>
      </c>
      <c r="H236" s="5" t="s">
        <v>49</v>
      </c>
      <c r="I236" s="6">
        <v>45684</v>
      </c>
      <c r="J236" s="3">
        <v>1500000</v>
      </c>
      <c r="K236" s="6">
        <v>45806</v>
      </c>
      <c r="L236" s="18">
        <v>45778</v>
      </c>
      <c r="M236" s="6">
        <f t="shared" si="7"/>
        <v>45793.5</v>
      </c>
      <c r="N236" t="s">
        <v>49</v>
      </c>
      <c r="O236" t="s">
        <v>49</v>
      </c>
      <c r="P236">
        <v>0.5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s="3">
        <v>0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49</v>
      </c>
      <c r="AL236" t="s">
        <v>49</v>
      </c>
      <c r="AM236" t="s">
        <v>49</v>
      </c>
      <c r="AN236" t="s">
        <v>49</v>
      </c>
      <c r="AO236" t="s">
        <v>49</v>
      </c>
      <c r="AP236" s="3">
        <v>0</v>
      </c>
      <c r="AQ236" t="s">
        <v>49</v>
      </c>
      <c r="AR236" t="s">
        <v>49</v>
      </c>
      <c r="AS236" t="s">
        <v>49</v>
      </c>
      <c r="AT236" t="s">
        <v>49</v>
      </c>
      <c r="AU236" s="5" t="s">
        <v>49</v>
      </c>
      <c r="AV236" t="s">
        <v>49</v>
      </c>
      <c r="AW236" t="s">
        <v>49</v>
      </c>
      <c r="AX236" t="s">
        <v>49</v>
      </c>
      <c r="AY236" t="s">
        <v>49</v>
      </c>
    </row>
    <row r="237" spans="1:51" ht="16.05" hidden="1" customHeight="1" x14ac:dyDescent="0.3">
      <c r="A237" s="2" t="s">
        <v>409</v>
      </c>
      <c r="B237" s="3" t="s">
        <v>372</v>
      </c>
      <c r="C237" s="7" t="s">
        <v>336</v>
      </c>
      <c r="D237" s="3" t="s">
        <v>101</v>
      </c>
      <c r="E237" s="3" t="s">
        <v>103</v>
      </c>
      <c r="F237" s="3" t="s">
        <v>106</v>
      </c>
      <c r="G237" s="5" t="s">
        <v>49</v>
      </c>
      <c r="H237" s="5" t="s">
        <v>49</v>
      </c>
      <c r="I237" s="6">
        <v>45582</v>
      </c>
      <c r="J237" t="s">
        <v>49</v>
      </c>
      <c r="K237" s="6">
        <v>45806</v>
      </c>
      <c r="L237" s="18">
        <v>45778</v>
      </c>
      <c r="M237" s="6">
        <f t="shared" si="7"/>
        <v>45793.5</v>
      </c>
      <c r="N237" t="s">
        <v>49</v>
      </c>
      <c r="O237" t="s">
        <v>49</v>
      </c>
      <c r="P237">
        <v>0.5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49</v>
      </c>
      <c r="Y237" t="s">
        <v>49</v>
      </c>
      <c r="Z237" t="s">
        <v>49</v>
      </c>
      <c r="AA237" t="s">
        <v>49</v>
      </c>
      <c r="AB237" t="s">
        <v>49</v>
      </c>
      <c r="AC237" s="3">
        <v>0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49</v>
      </c>
      <c r="AL237" t="s">
        <v>49</v>
      </c>
      <c r="AM237" t="s">
        <v>49</v>
      </c>
      <c r="AN237" t="s">
        <v>49</v>
      </c>
      <c r="AO237" t="s">
        <v>49</v>
      </c>
      <c r="AP237" s="3">
        <v>0</v>
      </c>
      <c r="AQ237" t="s">
        <v>49</v>
      </c>
      <c r="AR237" t="s">
        <v>49</v>
      </c>
      <c r="AS237" t="s">
        <v>49</v>
      </c>
      <c r="AT237" t="s">
        <v>49</v>
      </c>
      <c r="AU237" s="5" t="s">
        <v>49</v>
      </c>
      <c r="AV237" t="s">
        <v>49</v>
      </c>
      <c r="AW237" t="s">
        <v>49</v>
      </c>
      <c r="AX237" t="s">
        <v>49</v>
      </c>
      <c r="AY237" t="s">
        <v>49</v>
      </c>
    </row>
    <row r="238" spans="1:51" ht="16.05" hidden="1" customHeight="1" x14ac:dyDescent="0.3">
      <c r="A238" s="2" t="s">
        <v>410</v>
      </c>
      <c r="B238" s="3" t="s">
        <v>411</v>
      </c>
      <c r="C238" s="7" t="s">
        <v>336</v>
      </c>
      <c r="D238" s="3" t="s">
        <v>101</v>
      </c>
      <c r="E238" s="3" t="s">
        <v>103</v>
      </c>
      <c r="F238" s="3" t="s">
        <v>94</v>
      </c>
      <c r="G238" s="5" t="s">
        <v>49</v>
      </c>
      <c r="H238" s="5" t="s">
        <v>49</v>
      </c>
      <c r="I238" s="6">
        <v>45147</v>
      </c>
      <c r="J238" t="s">
        <v>49</v>
      </c>
      <c r="K238" s="6">
        <v>45806</v>
      </c>
      <c r="L238" s="18">
        <v>45778</v>
      </c>
      <c r="M238" s="6">
        <f t="shared" si="7"/>
        <v>45793.5</v>
      </c>
      <c r="N238" t="s">
        <v>49</v>
      </c>
      <c r="O238" t="s">
        <v>49</v>
      </c>
      <c r="P238">
        <v>0.5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 t="s">
        <v>49</v>
      </c>
      <c r="Z238" t="s">
        <v>49</v>
      </c>
      <c r="AA238" t="s">
        <v>49</v>
      </c>
      <c r="AB238" t="s">
        <v>49</v>
      </c>
      <c r="AC238" s="3">
        <v>0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49</v>
      </c>
      <c r="AL238" t="s">
        <v>49</v>
      </c>
      <c r="AM238" t="s">
        <v>49</v>
      </c>
      <c r="AN238" t="s">
        <v>49</v>
      </c>
      <c r="AO238" t="s">
        <v>49</v>
      </c>
      <c r="AP238" s="3">
        <v>0</v>
      </c>
      <c r="AQ238" t="s">
        <v>49</v>
      </c>
      <c r="AR238" t="s">
        <v>49</v>
      </c>
      <c r="AS238" t="s">
        <v>49</v>
      </c>
      <c r="AT238" t="s">
        <v>49</v>
      </c>
      <c r="AU238" s="5" t="s">
        <v>49</v>
      </c>
      <c r="AV238" t="s">
        <v>49</v>
      </c>
      <c r="AW238" t="s">
        <v>49</v>
      </c>
      <c r="AX238" t="s">
        <v>49</v>
      </c>
      <c r="AY238" t="s">
        <v>49</v>
      </c>
    </row>
    <row r="239" spans="1:51" ht="16.05" hidden="1" customHeight="1" x14ac:dyDescent="0.3">
      <c r="A239" s="2" t="s">
        <v>412</v>
      </c>
      <c r="B239" s="3" t="s">
        <v>413</v>
      </c>
      <c r="C239" s="7" t="s">
        <v>336</v>
      </c>
      <c r="D239" s="3" t="s">
        <v>67</v>
      </c>
      <c r="E239" s="3" t="s">
        <v>79</v>
      </c>
      <c r="F239" s="3" t="s">
        <v>94</v>
      </c>
      <c r="G239" s="5" t="s">
        <v>49</v>
      </c>
      <c r="H239" s="5" t="s">
        <v>49</v>
      </c>
      <c r="I239" s="6">
        <v>45169</v>
      </c>
      <c r="J239" t="s">
        <v>49</v>
      </c>
      <c r="K239" s="6">
        <v>45806</v>
      </c>
      <c r="L239" s="18">
        <v>45778</v>
      </c>
      <c r="M239" s="6">
        <f t="shared" si="7"/>
        <v>45793.5</v>
      </c>
      <c r="N239" t="s">
        <v>49</v>
      </c>
      <c r="O239" t="s">
        <v>49</v>
      </c>
      <c r="P239">
        <v>0.5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s="3">
        <v>0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49</v>
      </c>
      <c r="AN239" t="s">
        <v>49</v>
      </c>
      <c r="AO239" t="s">
        <v>49</v>
      </c>
      <c r="AP239" s="3">
        <v>0</v>
      </c>
      <c r="AQ239" t="s">
        <v>49</v>
      </c>
      <c r="AR239" t="s">
        <v>49</v>
      </c>
      <c r="AS239" t="s">
        <v>49</v>
      </c>
      <c r="AT239" t="s">
        <v>49</v>
      </c>
      <c r="AU239" s="5" t="s">
        <v>49</v>
      </c>
      <c r="AV239" t="s">
        <v>49</v>
      </c>
      <c r="AW239" t="s">
        <v>49</v>
      </c>
      <c r="AX239" t="s">
        <v>49</v>
      </c>
      <c r="AY239" t="s">
        <v>49</v>
      </c>
    </row>
    <row r="240" spans="1:51" ht="16.05" hidden="1" customHeight="1" x14ac:dyDescent="0.3">
      <c r="A240" s="2" t="s">
        <v>414</v>
      </c>
      <c r="B240" s="3" t="s">
        <v>140</v>
      </c>
      <c r="C240" s="7" t="s">
        <v>336</v>
      </c>
      <c r="D240" s="3" t="s">
        <v>101</v>
      </c>
      <c r="E240" s="3" t="s">
        <v>103</v>
      </c>
      <c r="F240" s="3" t="s">
        <v>106</v>
      </c>
      <c r="G240" s="5" t="s">
        <v>49</v>
      </c>
      <c r="H240" s="5" t="s">
        <v>49</v>
      </c>
      <c r="I240" s="6">
        <v>45691</v>
      </c>
      <c r="J240" s="3">
        <v>78000</v>
      </c>
      <c r="K240" s="6">
        <v>45806</v>
      </c>
      <c r="L240" s="18">
        <v>45778</v>
      </c>
      <c r="M240" s="6">
        <f t="shared" si="7"/>
        <v>45793.5</v>
      </c>
      <c r="N240" t="s">
        <v>49</v>
      </c>
      <c r="O240" t="s">
        <v>49</v>
      </c>
      <c r="P240">
        <v>0.5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s="3">
        <v>0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49</v>
      </c>
      <c r="AL240" t="s">
        <v>49</v>
      </c>
      <c r="AM240" t="s">
        <v>49</v>
      </c>
      <c r="AN240" t="s">
        <v>49</v>
      </c>
      <c r="AO240" t="s">
        <v>49</v>
      </c>
      <c r="AP240" s="3">
        <v>0</v>
      </c>
      <c r="AQ240" t="s">
        <v>49</v>
      </c>
      <c r="AR240" t="s">
        <v>49</v>
      </c>
      <c r="AS240" t="s">
        <v>49</v>
      </c>
      <c r="AT240" t="s">
        <v>49</v>
      </c>
      <c r="AU240" s="5" t="s">
        <v>49</v>
      </c>
      <c r="AV240" t="s">
        <v>49</v>
      </c>
      <c r="AW240" t="s">
        <v>49</v>
      </c>
      <c r="AX240" t="s">
        <v>49</v>
      </c>
      <c r="AY240" t="s">
        <v>49</v>
      </c>
    </row>
    <row r="241" spans="1:51" ht="16.05" hidden="1" customHeight="1" x14ac:dyDescent="0.3">
      <c r="A241" s="2" t="s">
        <v>415</v>
      </c>
      <c r="B241" s="3" t="s">
        <v>416</v>
      </c>
      <c r="C241" s="7" t="s">
        <v>336</v>
      </c>
      <c r="D241" s="3" t="s">
        <v>50</v>
      </c>
      <c r="E241" s="3" t="s">
        <v>53</v>
      </c>
      <c r="F241" s="3" t="s">
        <v>110</v>
      </c>
      <c r="G241" s="5" t="s">
        <v>49</v>
      </c>
      <c r="H241" s="5" t="s">
        <v>49</v>
      </c>
      <c r="I241" s="6">
        <v>45707</v>
      </c>
      <c r="J241" s="3">
        <v>4040400</v>
      </c>
      <c r="K241" s="6">
        <v>45806</v>
      </c>
      <c r="L241" s="18">
        <v>45778</v>
      </c>
      <c r="M241" s="6">
        <f t="shared" si="7"/>
        <v>45793.5</v>
      </c>
      <c r="N241" t="s">
        <v>49</v>
      </c>
      <c r="O241" t="s">
        <v>49</v>
      </c>
      <c r="P241">
        <v>0.5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49</v>
      </c>
      <c r="Y241" t="s">
        <v>49</v>
      </c>
      <c r="Z241" t="s">
        <v>49</v>
      </c>
      <c r="AA241" t="s">
        <v>49</v>
      </c>
      <c r="AB241" t="s">
        <v>49</v>
      </c>
      <c r="AC241" s="3">
        <v>0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49</v>
      </c>
      <c r="AL241" t="s">
        <v>49</v>
      </c>
      <c r="AM241" t="s">
        <v>49</v>
      </c>
      <c r="AN241" t="s">
        <v>49</v>
      </c>
      <c r="AO241" t="s">
        <v>49</v>
      </c>
      <c r="AP241" s="3">
        <v>0</v>
      </c>
      <c r="AQ241" t="s">
        <v>49</v>
      </c>
      <c r="AR241" t="s">
        <v>49</v>
      </c>
      <c r="AS241" t="s">
        <v>49</v>
      </c>
      <c r="AT241" t="s">
        <v>49</v>
      </c>
      <c r="AU241" s="5" t="s">
        <v>49</v>
      </c>
      <c r="AV241" t="s">
        <v>49</v>
      </c>
      <c r="AW241" t="s">
        <v>49</v>
      </c>
      <c r="AX241" t="s">
        <v>49</v>
      </c>
      <c r="AY241" t="s">
        <v>49</v>
      </c>
    </row>
    <row r="242" spans="1:51" ht="16.05" hidden="1" customHeight="1" x14ac:dyDescent="0.3">
      <c r="A242" s="2" t="s">
        <v>417</v>
      </c>
      <c r="B242" s="3" t="s">
        <v>125</v>
      </c>
      <c r="C242" s="16" t="s">
        <v>322</v>
      </c>
      <c r="D242" s="3" t="s">
        <v>101</v>
      </c>
      <c r="E242" s="3" t="s">
        <v>103</v>
      </c>
      <c r="F242" s="3" t="s">
        <v>106</v>
      </c>
      <c r="G242" s="5" t="s">
        <v>49</v>
      </c>
      <c r="H242" s="5" t="s">
        <v>49</v>
      </c>
      <c r="I242" s="6">
        <v>45748</v>
      </c>
      <c r="J242" s="3">
        <v>40000</v>
      </c>
      <c r="K242" s="6">
        <v>45783</v>
      </c>
      <c r="L242" s="18">
        <v>45778</v>
      </c>
      <c r="M242" s="6">
        <f t="shared" si="7"/>
        <v>45793.5</v>
      </c>
      <c r="N242" t="s">
        <v>49</v>
      </c>
      <c r="O242" t="s">
        <v>49</v>
      </c>
      <c r="P242">
        <v>0.5</v>
      </c>
      <c r="Q242" t="s">
        <v>49</v>
      </c>
      <c r="R242" t="s">
        <v>49</v>
      </c>
      <c r="S242" t="s">
        <v>49</v>
      </c>
      <c r="T242" s="3">
        <v>20000</v>
      </c>
      <c r="U242" s="3">
        <v>20000</v>
      </c>
      <c r="V242" t="s">
        <v>49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s="3">
        <v>40000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49</v>
      </c>
      <c r="AL242" t="s">
        <v>49</v>
      </c>
      <c r="AM242" t="s">
        <v>49</v>
      </c>
      <c r="AN242" t="s">
        <v>49</v>
      </c>
      <c r="AO242" t="s">
        <v>49</v>
      </c>
      <c r="AP242" s="3">
        <v>0</v>
      </c>
      <c r="AQ242" t="s">
        <v>49</v>
      </c>
      <c r="AR242" t="s">
        <v>49</v>
      </c>
      <c r="AS242" t="s">
        <v>49</v>
      </c>
      <c r="AT242" t="s">
        <v>49</v>
      </c>
      <c r="AU242" s="5" t="s">
        <v>49</v>
      </c>
      <c r="AV242" t="s">
        <v>49</v>
      </c>
      <c r="AW242" t="s">
        <v>49</v>
      </c>
      <c r="AX242" t="s">
        <v>49</v>
      </c>
      <c r="AY242" t="s">
        <v>49</v>
      </c>
    </row>
    <row r="243" spans="1:51" ht="16.05" hidden="1" customHeight="1" x14ac:dyDescent="0.3">
      <c r="A243" s="2" t="s">
        <v>418</v>
      </c>
      <c r="B243" s="3" t="s">
        <v>100</v>
      </c>
      <c r="C243" s="7" t="s">
        <v>336</v>
      </c>
      <c r="D243" s="3" t="s">
        <v>101</v>
      </c>
      <c r="E243" s="3" t="s">
        <v>103</v>
      </c>
      <c r="F243" s="3" t="s">
        <v>102</v>
      </c>
      <c r="G243" s="5" t="s">
        <v>49</v>
      </c>
      <c r="H243" s="5" t="s">
        <v>49</v>
      </c>
      <c r="I243" s="6">
        <v>45692</v>
      </c>
      <c r="J243" s="3">
        <v>1000000</v>
      </c>
      <c r="K243" s="6">
        <v>45806</v>
      </c>
      <c r="L243" s="18">
        <v>45778</v>
      </c>
      <c r="M243" s="6">
        <f t="shared" si="7"/>
        <v>45793.5</v>
      </c>
      <c r="N243" t="s">
        <v>49</v>
      </c>
      <c r="O243" t="s">
        <v>49</v>
      </c>
      <c r="P243">
        <v>0.5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49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s="3">
        <v>0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49</v>
      </c>
      <c r="AN243" t="s">
        <v>49</v>
      </c>
      <c r="AO243" t="s">
        <v>49</v>
      </c>
      <c r="AP243" s="3">
        <v>0</v>
      </c>
      <c r="AQ243" t="s">
        <v>49</v>
      </c>
      <c r="AR243" t="s">
        <v>49</v>
      </c>
      <c r="AS243" t="s">
        <v>49</v>
      </c>
      <c r="AT243" t="s">
        <v>49</v>
      </c>
      <c r="AU243" s="5" t="s">
        <v>49</v>
      </c>
      <c r="AV243" t="s">
        <v>49</v>
      </c>
      <c r="AW243" t="s">
        <v>49</v>
      </c>
      <c r="AX243" t="s">
        <v>49</v>
      </c>
      <c r="AY243" t="s">
        <v>49</v>
      </c>
    </row>
    <row r="244" spans="1:51" ht="16.05" hidden="1" customHeight="1" x14ac:dyDescent="0.3">
      <c r="A244" s="2" t="s">
        <v>419</v>
      </c>
      <c r="B244" s="3" t="s">
        <v>420</v>
      </c>
      <c r="C244" s="7" t="s">
        <v>336</v>
      </c>
      <c r="D244" s="3" t="s">
        <v>101</v>
      </c>
      <c r="E244" s="3" t="s">
        <v>248</v>
      </c>
      <c r="F244" s="3" t="s">
        <v>106</v>
      </c>
      <c r="G244" s="5" t="s">
        <v>49</v>
      </c>
      <c r="H244" s="5" t="s">
        <v>49</v>
      </c>
      <c r="I244" s="6">
        <v>45331</v>
      </c>
      <c r="J244" s="3">
        <v>99000</v>
      </c>
      <c r="K244" s="6">
        <v>45806</v>
      </c>
      <c r="L244" s="18">
        <v>45778</v>
      </c>
      <c r="M244" s="6">
        <f t="shared" si="7"/>
        <v>45793.5</v>
      </c>
      <c r="N244" t="s">
        <v>49</v>
      </c>
      <c r="O244" t="s">
        <v>49</v>
      </c>
      <c r="P244">
        <v>0.5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 t="s">
        <v>49</v>
      </c>
      <c r="Z244" t="s">
        <v>49</v>
      </c>
      <c r="AA244" t="s">
        <v>49</v>
      </c>
      <c r="AB244" t="s">
        <v>49</v>
      </c>
      <c r="AC244" s="3">
        <v>0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49</v>
      </c>
      <c r="AM244" t="s">
        <v>49</v>
      </c>
      <c r="AN244" t="s">
        <v>49</v>
      </c>
      <c r="AO244" t="s">
        <v>49</v>
      </c>
      <c r="AP244" s="3">
        <v>0</v>
      </c>
      <c r="AQ244" t="s">
        <v>49</v>
      </c>
      <c r="AR244" t="s">
        <v>49</v>
      </c>
      <c r="AS244" t="s">
        <v>49</v>
      </c>
      <c r="AT244" t="s">
        <v>49</v>
      </c>
      <c r="AU244" s="5" t="s">
        <v>49</v>
      </c>
      <c r="AV244" t="s">
        <v>49</v>
      </c>
      <c r="AW244" t="s">
        <v>49</v>
      </c>
      <c r="AX244" t="s">
        <v>49</v>
      </c>
      <c r="AY244" t="s">
        <v>49</v>
      </c>
    </row>
    <row r="245" spans="1:51" ht="16.05" hidden="1" customHeight="1" x14ac:dyDescent="0.3">
      <c r="A245" s="2" t="s">
        <v>421</v>
      </c>
      <c r="B245" s="3" t="s">
        <v>421</v>
      </c>
      <c r="C245" s="7" t="s">
        <v>336</v>
      </c>
      <c r="D245" s="3" t="s">
        <v>101</v>
      </c>
      <c r="E245" s="3" t="s">
        <v>248</v>
      </c>
      <c r="F245" s="3" t="s">
        <v>106</v>
      </c>
      <c r="G245" s="5" t="s">
        <v>49</v>
      </c>
      <c r="H245" s="5" t="s">
        <v>49</v>
      </c>
      <c r="I245" s="6">
        <v>45582</v>
      </c>
      <c r="J245" t="s">
        <v>49</v>
      </c>
      <c r="K245" s="6">
        <v>45806</v>
      </c>
      <c r="L245" s="18">
        <v>45778</v>
      </c>
      <c r="M245" s="6">
        <f t="shared" si="7"/>
        <v>45793.5</v>
      </c>
      <c r="N245" t="s">
        <v>49</v>
      </c>
      <c r="O245" t="s">
        <v>49</v>
      </c>
      <c r="P245">
        <v>0.5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s="3">
        <v>0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49</v>
      </c>
      <c r="AL245" t="s">
        <v>49</v>
      </c>
      <c r="AM245" t="s">
        <v>49</v>
      </c>
      <c r="AN245" t="s">
        <v>49</v>
      </c>
      <c r="AO245" t="s">
        <v>49</v>
      </c>
      <c r="AP245" s="3">
        <v>0</v>
      </c>
      <c r="AQ245" t="s">
        <v>49</v>
      </c>
      <c r="AR245" t="s">
        <v>49</v>
      </c>
      <c r="AS245" t="s">
        <v>49</v>
      </c>
      <c r="AT245" t="s">
        <v>49</v>
      </c>
      <c r="AU245" s="5" t="s">
        <v>49</v>
      </c>
      <c r="AV245" t="s">
        <v>49</v>
      </c>
      <c r="AW245" t="s">
        <v>49</v>
      </c>
      <c r="AX245" t="s">
        <v>49</v>
      </c>
      <c r="AY245" t="s">
        <v>49</v>
      </c>
    </row>
    <row r="246" spans="1:51" ht="16.05" hidden="1" customHeight="1" x14ac:dyDescent="0.3">
      <c r="A246" s="2" t="s">
        <v>422</v>
      </c>
      <c r="B246" s="3" t="s">
        <v>423</v>
      </c>
      <c r="C246" s="7" t="s">
        <v>336</v>
      </c>
      <c r="D246" s="3" t="s">
        <v>101</v>
      </c>
      <c r="E246" s="3" t="s">
        <v>103</v>
      </c>
      <c r="F246" s="3" t="s">
        <v>106</v>
      </c>
      <c r="G246" s="5" t="s">
        <v>49</v>
      </c>
      <c r="H246" s="5" t="s">
        <v>49</v>
      </c>
      <c r="I246" s="6">
        <v>45331</v>
      </c>
      <c r="J246" t="s">
        <v>49</v>
      </c>
      <c r="K246" s="6">
        <v>45806</v>
      </c>
      <c r="L246" s="18">
        <v>45778</v>
      </c>
      <c r="M246" s="6">
        <f t="shared" si="7"/>
        <v>45793.5</v>
      </c>
      <c r="N246" t="s">
        <v>49</v>
      </c>
      <c r="O246" t="s">
        <v>49</v>
      </c>
      <c r="P246">
        <v>0.5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s="3">
        <v>0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49</v>
      </c>
      <c r="AN246" t="s">
        <v>49</v>
      </c>
      <c r="AO246" t="s">
        <v>49</v>
      </c>
      <c r="AP246" s="3">
        <v>0</v>
      </c>
      <c r="AQ246" t="s">
        <v>49</v>
      </c>
      <c r="AR246" t="s">
        <v>49</v>
      </c>
      <c r="AS246" t="s">
        <v>49</v>
      </c>
      <c r="AT246" t="s">
        <v>49</v>
      </c>
      <c r="AU246" s="5" t="s">
        <v>49</v>
      </c>
      <c r="AV246" t="s">
        <v>49</v>
      </c>
      <c r="AW246" t="s">
        <v>49</v>
      </c>
      <c r="AX246" t="s">
        <v>49</v>
      </c>
      <c r="AY246" t="s">
        <v>49</v>
      </c>
    </row>
    <row r="247" spans="1:51" ht="16.05" hidden="1" customHeight="1" x14ac:dyDescent="0.3">
      <c r="A247" s="2" t="s">
        <v>114</v>
      </c>
      <c r="B247" s="2" t="s">
        <v>114</v>
      </c>
      <c r="C247" s="7" t="s">
        <v>336</v>
      </c>
      <c r="D247" s="3" t="s">
        <v>67</v>
      </c>
      <c r="E247" s="3" t="s">
        <v>79</v>
      </c>
      <c r="F247" s="3" t="s">
        <v>91</v>
      </c>
      <c r="G247" s="5" t="s">
        <v>49</v>
      </c>
      <c r="H247" s="5" t="s">
        <v>49</v>
      </c>
      <c r="I247" s="6">
        <v>45719</v>
      </c>
      <c r="J247" t="s">
        <v>49</v>
      </c>
      <c r="K247" s="6">
        <v>45806</v>
      </c>
      <c r="L247" s="18">
        <v>45778</v>
      </c>
      <c r="M247" s="6">
        <f t="shared" si="7"/>
        <v>45793.5</v>
      </c>
      <c r="N247" t="s">
        <v>49</v>
      </c>
      <c r="O247" t="s">
        <v>49</v>
      </c>
      <c r="P247">
        <v>0.5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  <c r="AB247" t="s">
        <v>49</v>
      </c>
      <c r="AC247" s="3">
        <v>0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49</v>
      </c>
      <c r="AL247" t="s">
        <v>49</v>
      </c>
      <c r="AM247" t="s">
        <v>49</v>
      </c>
      <c r="AN247" t="s">
        <v>49</v>
      </c>
      <c r="AO247" t="s">
        <v>49</v>
      </c>
      <c r="AP247" s="3">
        <v>0</v>
      </c>
      <c r="AQ247" t="s">
        <v>49</v>
      </c>
      <c r="AR247" t="s">
        <v>49</v>
      </c>
      <c r="AS247" t="s">
        <v>49</v>
      </c>
      <c r="AT247" t="s">
        <v>49</v>
      </c>
      <c r="AU247" s="5" t="s">
        <v>49</v>
      </c>
      <c r="AV247" t="s">
        <v>49</v>
      </c>
      <c r="AW247" t="s">
        <v>49</v>
      </c>
      <c r="AX247" t="s">
        <v>49</v>
      </c>
      <c r="AY247" t="s">
        <v>49</v>
      </c>
    </row>
    <row r="248" spans="1:51" ht="16.05" hidden="1" customHeight="1" x14ac:dyDescent="0.3">
      <c r="A248" s="2" t="s">
        <v>424</v>
      </c>
      <c r="B248" s="3" t="s">
        <v>171</v>
      </c>
      <c r="C248" s="7" t="s">
        <v>336</v>
      </c>
      <c r="D248" s="3" t="s">
        <v>55</v>
      </c>
      <c r="E248" s="3" t="s">
        <v>57</v>
      </c>
      <c r="F248" s="3" t="s">
        <v>121</v>
      </c>
      <c r="G248" s="5" t="s">
        <v>49</v>
      </c>
      <c r="H248" s="5" t="s">
        <v>49</v>
      </c>
      <c r="I248" s="6">
        <v>45684</v>
      </c>
      <c r="J248" s="3">
        <v>50000</v>
      </c>
      <c r="K248" s="6">
        <v>45835</v>
      </c>
      <c r="L248" s="18">
        <v>45809</v>
      </c>
      <c r="M248" s="6">
        <f t="shared" si="7"/>
        <v>45824</v>
      </c>
      <c r="N248" t="s">
        <v>49</v>
      </c>
      <c r="O248" t="s">
        <v>49</v>
      </c>
      <c r="P248">
        <v>0.5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s="3">
        <v>0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49</v>
      </c>
      <c r="AN248" t="s">
        <v>49</v>
      </c>
      <c r="AO248" t="s">
        <v>49</v>
      </c>
      <c r="AP248" s="3">
        <v>0</v>
      </c>
      <c r="AQ248" t="s">
        <v>49</v>
      </c>
      <c r="AR248" t="s">
        <v>49</v>
      </c>
      <c r="AS248" t="s">
        <v>49</v>
      </c>
      <c r="AT248" t="s">
        <v>49</v>
      </c>
      <c r="AU248" s="5" t="s">
        <v>49</v>
      </c>
      <c r="AV248" t="s">
        <v>49</v>
      </c>
      <c r="AW248" t="s">
        <v>49</v>
      </c>
      <c r="AX248" t="s">
        <v>49</v>
      </c>
      <c r="AY248" t="s">
        <v>49</v>
      </c>
    </row>
    <row r="249" spans="1:51" ht="16.05" hidden="1" customHeight="1" x14ac:dyDescent="0.3">
      <c r="A249" s="2" t="s">
        <v>425</v>
      </c>
      <c r="B249" s="3" t="s">
        <v>425</v>
      </c>
      <c r="C249" s="16" t="s">
        <v>322</v>
      </c>
      <c r="D249" s="3" t="s">
        <v>55</v>
      </c>
      <c r="E249" s="3" t="s">
        <v>57</v>
      </c>
      <c r="F249" s="3" t="s">
        <v>94</v>
      </c>
      <c r="G249" s="5" t="s">
        <v>49</v>
      </c>
      <c r="H249" s="5" t="s">
        <v>49</v>
      </c>
      <c r="I249" s="6">
        <v>45765</v>
      </c>
      <c r="J249" s="3">
        <v>120000</v>
      </c>
      <c r="K249" s="6">
        <v>45858</v>
      </c>
      <c r="L249" s="18">
        <v>45839</v>
      </c>
      <c r="M249" s="6">
        <f t="shared" si="7"/>
        <v>45854.5</v>
      </c>
      <c r="N249" t="s">
        <v>49</v>
      </c>
      <c r="O249" t="s">
        <v>49</v>
      </c>
      <c r="P249">
        <v>0.5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s="3">
        <v>30000</v>
      </c>
      <c r="W249" s="3">
        <v>30000</v>
      </c>
      <c r="X249" s="3">
        <v>30000</v>
      </c>
      <c r="Y249" s="3">
        <v>30000</v>
      </c>
      <c r="Z249" t="s">
        <v>49</v>
      </c>
      <c r="AA249" t="s">
        <v>49</v>
      </c>
      <c r="AB249" t="s">
        <v>49</v>
      </c>
      <c r="AC249" s="3">
        <v>120000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49</v>
      </c>
      <c r="AN249" t="s">
        <v>49</v>
      </c>
      <c r="AO249" t="s">
        <v>49</v>
      </c>
      <c r="AP249" s="3">
        <v>0</v>
      </c>
      <c r="AQ249" t="s">
        <v>49</v>
      </c>
      <c r="AR249" t="s">
        <v>49</v>
      </c>
      <c r="AS249" t="s">
        <v>49</v>
      </c>
      <c r="AT249" t="s">
        <v>49</v>
      </c>
      <c r="AU249" s="5" t="s">
        <v>49</v>
      </c>
      <c r="AV249" t="s">
        <v>49</v>
      </c>
      <c r="AW249" t="s">
        <v>49</v>
      </c>
      <c r="AX249" t="s">
        <v>49</v>
      </c>
      <c r="AY249" t="s">
        <v>49</v>
      </c>
    </row>
    <row r="250" spans="1:51" ht="16.05" hidden="1" customHeight="1" x14ac:dyDescent="0.3">
      <c r="A250" s="2" t="s">
        <v>426</v>
      </c>
      <c r="B250" s="3" t="s">
        <v>171</v>
      </c>
      <c r="C250" s="16" t="s">
        <v>322</v>
      </c>
      <c r="D250" s="3" t="s">
        <v>55</v>
      </c>
      <c r="E250" s="3" t="s">
        <v>57</v>
      </c>
      <c r="F250" s="3" t="s">
        <v>94</v>
      </c>
      <c r="G250" s="5" t="s">
        <v>49</v>
      </c>
      <c r="H250" s="5" t="s">
        <v>49</v>
      </c>
      <c r="I250" s="6">
        <v>45792</v>
      </c>
      <c r="J250" s="3">
        <v>72500</v>
      </c>
      <c r="K250" s="6">
        <v>45882</v>
      </c>
      <c r="L250" s="18">
        <v>45870</v>
      </c>
      <c r="M250" s="6">
        <f t="shared" si="7"/>
        <v>45885.5</v>
      </c>
      <c r="N250" t="s">
        <v>49</v>
      </c>
      <c r="O250" t="s">
        <v>49</v>
      </c>
      <c r="P250">
        <v>0.5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s="3">
        <v>10000</v>
      </c>
      <c r="W250" s="3">
        <v>12500</v>
      </c>
      <c r="X250" s="3">
        <v>10000</v>
      </c>
      <c r="Y250" s="3">
        <v>10000</v>
      </c>
      <c r="Z250" s="3">
        <v>12500</v>
      </c>
      <c r="AA250" s="3">
        <v>10000</v>
      </c>
      <c r="AB250" s="3">
        <v>7500</v>
      </c>
      <c r="AC250" s="3">
        <v>72500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49</v>
      </c>
      <c r="AN250" t="s">
        <v>49</v>
      </c>
      <c r="AO250" t="s">
        <v>49</v>
      </c>
      <c r="AP250" s="3">
        <v>0</v>
      </c>
      <c r="AQ250" t="s">
        <v>49</v>
      </c>
      <c r="AR250" t="s">
        <v>49</v>
      </c>
      <c r="AS250" t="s">
        <v>49</v>
      </c>
      <c r="AT250" t="s">
        <v>49</v>
      </c>
      <c r="AU250" s="5" t="s">
        <v>49</v>
      </c>
      <c r="AV250" t="s">
        <v>49</v>
      </c>
      <c r="AW250" t="s">
        <v>49</v>
      </c>
      <c r="AX250" t="s">
        <v>49</v>
      </c>
      <c r="AY250" t="s">
        <v>49</v>
      </c>
    </row>
    <row r="251" spans="1:51" ht="16.05" hidden="1" customHeight="1" x14ac:dyDescent="0.3">
      <c r="A251" s="2" t="s">
        <v>427</v>
      </c>
      <c r="B251" s="3" t="s">
        <v>223</v>
      </c>
      <c r="C251" s="16" t="s">
        <v>322</v>
      </c>
      <c r="D251" s="3" t="s">
        <v>55</v>
      </c>
      <c r="E251" s="3" t="s">
        <v>57</v>
      </c>
      <c r="F251" s="3" t="s">
        <v>94</v>
      </c>
      <c r="G251" s="5" t="s">
        <v>49</v>
      </c>
      <c r="H251" s="5" t="s">
        <v>49</v>
      </c>
      <c r="I251" s="6">
        <v>45418</v>
      </c>
      <c r="J251" s="3">
        <v>312500</v>
      </c>
      <c r="K251" s="6">
        <v>45882</v>
      </c>
      <c r="L251" s="18">
        <v>45870</v>
      </c>
      <c r="M251" s="6">
        <f t="shared" si="7"/>
        <v>45885.5</v>
      </c>
      <c r="N251" t="s">
        <v>49</v>
      </c>
      <c r="O251" t="s">
        <v>49</v>
      </c>
      <c r="P251">
        <v>0.5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s="3">
        <v>50000</v>
      </c>
      <c r="Y251" s="3">
        <v>50000</v>
      </c>
      <c r="Z251" s="3">
        <v>50000</v>
      </c>
      <c r="AA251" s="3">
        <v>50000</v>
      </c>
      <c r="AB251" s="3">
        <v>37500</v>
      </c>
      <c r="AC251" s="3">
        <v>237500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49</v>
      </c>
      <c r="AN251" t="s">
        <v>49</v>
      </c>
      <c r="AO251" t="s">
        <v>49</v>
      </c>
      <c r="AP251" s="3">
        <v>0</v>
      </c>
      <c r="AQ251" t="s">
        <v>49</v>
      </c>
      <c r="AR251" t="s">
        <v>49</v>
      </c>
      <c r="AS251" t="s">
        <v>49</v>
      </c>
      <c r="AT251" t="s">
        <v>49</v>
      </c>
      <c r="AU251" s="5" t="s">
        <v>49</v>
      </c>
      <c r="AV251" t="s">
        <v>49</v>
      </c>
      <c r="AW251" t="s">
        <v>49</v>
      </c>
      <c r="AX251" t="s">
        <v>49</v>
      </c>
      <c r="AY251" t="s">
        <v>49</v>
      </c>
    </row>
    <row r="252" spans="1:51" ht="16.05" hidden="1" customHeight="1" x14ac:dyDescent="0.3">
      <c r="A252" s="2" t="s">
        <v>428</v>
      </c>
      <c r="B252" s="3" t="s">
        <v>408</v>
      </c>
      <c r="C252" s="7" t="s">
        <v>336</v>
      </c>
      <c r="D252" s="3" t="s">
        <v>50</v>
      </c>
      <c r="E252" s="3" t="s">
        <v>53</v>
      </c>
      <c r="F252" s="3" t="s">
        <v>83</v>
      </c>
      <c r="G252" s="5" t="s">
        <v>49</v>
      </c>
      <c r="H252" s="5" t="s">
        <v>49</v>
      </c>
      <c r="I252" s="6">
        <v>45748</v>
      </c>
      <c r="J252" s="3">
        <v>2500000</v>
      </c>
      <c r="K252" s="6">
        <v>45885</v>
      </c>
      <c r="L252" s="18">
        <v>45870</v>
      </c>
      <c r="M252" s="6">
        <f t="shared" si="7"/>
        <v>45885.5</v>
      </c>
      <c r="N252" t="s">
        <v>49</v>
      </c>
      <c r="O252" t="s">
        <v>49</v>
      </c>
      <c r="P252">
        <v>0.5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s="3">
        <v>0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49</v>
      </c>
      <c r="AL252" t="s">
        <v>49</v>
      </c>
      <c r="AM252" t="s">
        <v>49</v>
      </c>
      <c r="AN252" t="s">
        <v>49</v>
      </c>
      <c r="AO252" t="s">
        <v>49</v>
      </c>
      <c r="AP252" s="3">
        <v>0</v>
      </c>
      <c r="AQ252" t="s">
        <v>49</v>
      </c>
      <c r="AR252" t="s">
        <v>49</v>
      </c>
      <c r="AS252" t="s">
        <v>49</v>
      </c>
      <c r="AT252" t="s">
        <v>49</v>
      </c>
      <c r="AU252" s="5" t="s">
        <v>49</v>
      </c>
      <c r="AV252" t="s">
        <v>49</v>
      </c>
      <c r="AW252" t="s">
        <v>49</v>
      </c>
      <c r="AX252" t="s">
        <v>49</v>
      </c>
      <c r="AY252" t="s">
        <v>49</v>
      </c>
    </row>
    <row r="253" spans="1:51" ht="16.05" hidden="1" customHeight="1" x14ac:dyDescent="0.3">
      <c r="A253" s="2" t="s">
        <v>429</v>
      </c>
      <c r="B253" s="3" t="s">
        <v>97</v>
      </c>
      <c r="C253" s="16" t="s">
        <v>322</v>
      </c>
      <c r="D253" s="3" t="s">
        <v>67</v>
      </c>
      <c r="E253" s="3" t="s">
        <v>79</v>
      </c>
      <c r="F253" s="3" t="s">
        <v>91</v>
      </c>
      <c r="G253" s="5" t="s">
        <v>49</v>
      </c>
      <c r="H253" s="5" t="s">
        <v>49</v>
      </c>
      <c r="I253" s="6">
        <v>45868</v>
      </c>
      <c r="J253" s="3">
        <v>1895000</v>
      </c>
      <c r="K253" s="6">
        <v>45917</v>
      </c>
      <c r="L253" s="18">
        <v>45901</v>
      </c>
      <c r="M253" s="6">
        <f t="shared" si="7"/>
        <v>45916</v>
      </c>
      <c r="N253" t="s">
        <v>49</v>
      </c>
      <c r="O253" t="s">
        <v>49</v>
      </c>
      <c r="P253">
        <v>0.5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s="3">
        <v>0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49</v>
      </c>
      <c r="AL253" t="s">
        <v>49</v>
      </c>
      <c r="AM253" t="s">
        <v>49</v>
      </c>
      <c r="AN253" t="s">
        <v>49</v>
      </c>
      <c r="AO253" t="s">
        <v>49</v>
      </c>
      <c r="AP253" s="3">
        <v>0</v>
      </c>
      <c r="AQ253" t="s">
        <v>49</v>
      </c>
      <c r="AR253" t="s">
        <v>49</v>
      </c>
      <c r="AS253" t="s">
        <v>49</v>
      </c>
      <c r="AT253" t="s">
        <v>49</v>
      </c>
      <c r="AU253" s="5" t="s">
        <v>49</v>
      </c>
      <c r="AV253" t="s">
        <v>49</v>
      </c>
      <c r="AW253" t="s">
        <v>49</v>
      </c>
      <c r="AX253" t="s">
        <v>49</v>
      </c>
      <c r="AY253" t="s">
        <v>49</v>
      </c>
    </row>
    <row r="254" spans="1:51" ht="16.05" hidden="1" customHeight="1" x14ac:dyDescent="0.3">
      <c r="A254" s="2" t="s">
        <v>430</v>
      </c>
      <c r="B254" s="3" t="s">
        <v>223</v>
      </c>
      <c r="C254" s="16" t="s">
        <v>322</v>
      </c>
      <c r="D254" s="3" t="s">
        <v>55</v>
      </c>
      <c r="E254" s="3" t="s">
        <v>57</v>
      </c>
      <c r="F254" s="3" t="s">
        <v>94</v>
      </c>
      <c r="G254" s="5" t="s">
        <v>49</v>
      </c>
      <c r="H254" s="5" t="s">
        <v>49</v>
      </c>
      <c r="I254" s="6">
        <v>45418</v>
      </c>
      <c r="J254" s="3">
        <v>172500</v>
      </c>
      <c r="K254" s="6">
        <v>45945</v>
      </c>
      <c r="L254" s="18">
        <v>45931</v>
      </c>
      <c r="M254" s="6">
        <f t="shared" si="7"/>
        <v>45946.5</v>
      </c>
      <c r="N254" t="s">
        <v>49</v>
      </c>
      <c r="O254" t="s">
        <v>49</v>
      </c>
      <c r="P254">
        <v>0.5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s="3">
        <v>30000</v>
      </c>
      <c r="X254" s="3">
        <v>30000</v>
      </c>
      <c r="Y254" s="3">
        <v>30000</v>
      </c>
      <c r="Z254" s="3">
        <v>30000</v>
      </c>
      <c r="AA254" s="3">
        <v>30000</v>
      </c>
      <c r="AB254" s="3">
        <v>22500</v>
      </c>
      <c r="AC254" s="3">
        <v>172500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49</v>
      </c>
      <c r="AL254" t="s">
        <v>49</v>
      </c>
      <c r="AM254" t="s">
        <v>49</v>
      </c>
      <c r="AN254" t="s">
        <v>49</v>
      </c>
      <c r="AO254" t="s">
        <v>49</v>
      </c>
      <c r="AP254" s="3">
        <v>0</v>
      </c>
      <c r="AQ254" t="s">
        <v>49</v>
      </c>
      <c r="AR254" t="s">
        <v>49</v>
      </c>
      <c r="AS254" t="s">
        <v>49</v>
      </c>
      <c r="AT254" t="s">
        <v>49</v>
      </c>
      <c r="AU254" s="5" t="s">
        <v>49</v>
      </c>
      <c r="AV254" t="s">
        <v>49</v>
      </c>
      <c r="AW254" t="s">
        <v>49</v>
      </c>
      <c r="AX254" t="s">
        <v>49</v>
      </c>
      <c r="AY254" t="s">
        <v>49</v>
      </c>
    </row>
    <row r="255" spans="1:51" ht="16.05" hidden="1" customHeight="1" x14ac:dyDescent="0.3">
      <c r="A255" s="2" t="s">
        <v>431</v>
      </c>
      <c r="B255" s="3" t="s">
        <v>223</v>
      </c>
      <c r="C255" s="16" t="s">
        <v>322</v>
      </c>
      <c r="D255" s="3" t="s">
        <v>55</v>
      </c>
      <c r="E255" s="3" t="s">
        <v>57</v>
      </c>
      <c r="F255" s="3" t="s">
        <v>94</v>
      </c>
      <c r="G255" s="5" t="s">
        <v>49</v>
      </c>
      <c r="H255" s="5" t="s">
        <v>49</v>
      </c>
      <c r="I255" s="6">
        <v>45796</v>
      </c>
      <c r="J255" s="3">
        <v>178200</v>
      </c>
      <c r="K255" s="6">
        <v>45945</v>
      </c>
      <c r="L255" s="18">
        <v>45931</v>
      </c>
      <c r="M255" s="6">
        <f t="shared" si="7"/>
        <v>45946.5</v>
      </c>
      <c r="N255" t="s">
        <v>49</v>
      </c>
      <c r="O255" t="s">
        <v>49</v>
      </c>
      <c r="P255">
        <v>0.5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s="3">
        <v>13200</v>
      </c>
      <c r="W255" s="3">
        <v>33000</v>
      </c>
      <c r="X255" s="3">
        <v>26400</v>
      </c>
      <c r="Y255" s="3">
        <v>26400</v>
      </c>
      <c r="Z255" s="3">
        <v>33000</v>
      </c>
      <c r="AA255" s="3">
        <v>26400</v>
      </c>
      <c r="AB255" s="3">
        <v>19800</v>
      </c>
      <c r="AC255" s="3">
        <v>178200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  <c r="AK255" t="s">
        <v>49</v>
      </c>
      <c r="AL255" t="s">
        <v>49</v>
      </c>
      <c r="AM255" t="s">
        <v>49</v>
      </c>
      <c r="AN255" t="s">
        <v>49</v>
      </c>
      <c r="AO255" t="s">
        <v>49</v>
      </c>
      <c r="AP255" s="3">
        <v>0</v>
      </c>
      <c r="AQ255" t="s">
        <v>49</v>
      </c>
      <c r="AR255" t="s">
        <v>49</v>
      </c>
      <c r="AS255" t="s">
        <v>49</v>
      </c>
      <c r="AT255" t="s">
        <v>49</v>
      </c>
      <c r="AU255" s="5" t="s">
        <v>49</v>
      </c>
      <c r="AV255" t="s">
        <v>49</v>
      </c>
      <c r="AW255" t="s">
        <v>49</v>
      </c>
      <c r="AX255" t="s">
        <v>49</v>
      </c>
      <c r="AY255" t="s">
        <v>49</v>
      </c>
    </row>
    <row r="256" spans="1:51" ht="16.05" hidden="1" customHeight="1" x14ac:dyDescent="0.3">
      <c r="A256" s="2" t="s">
        <v>432</v>
      </c>
      <c r="B256" s="3" t="s">
        <v>433</v>
      </c>
      <c r="C256" s="16" t="s">
        <v>322</v>
      </c>
      <c r="D256" s="3" t="s">
        <v>101</v>
      </c>
      <c r="E256" s="3" t="s">
        <v>103</v>
      </c>
      <c r="F256" s="3" t="s">
        <v>106</v>
      </c>
      <c r="G256" s="5" t="s">
        <v>49</v>
      </c>
      <c r="H256" s="5" t="s">
        <v>49</v>
      </c>
      <c r="I256" s="6">
        <v>45818</v>
      </c>
      <c r="J256" s="3">
        <v>1000000</v>
      </c>
      <c r="K256" s="6">
        <v>45953</v>
      </c>
      <c r="L256" s="18">
        <v>45931</v>
      </c>
      <c r="M256" s="6">
        <f t="shared" si="7"/>
        <v>45946.5</v>
      </c>
      <c r="N256" t="s">
        <v>49</v>
      </c>
      <c r="O256" t="s">
        <v>49</v>
      </c>
      <c r="P256">
        <v>0.5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49</v>
      </c>
      <c r="X256" t="s">
        <v>49</v>
      </c>
      <c r="Y256" t="s">
        <v>49</v>
      </c>
      <c r="Z256" t="s">
        <v>49</v>
      </c>
      <c r="AA256" t="s">
        <v>49</v>
      </c>
      <c r="AB256" t="s">
        <v>49</v>
      </c>
      <c r="AC256" s="3">
        <v>0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49</v>
      </c>
      <c r="AL256" t="s">
        <v>49</v>
      </c>
      <c r="AM256" t="s">
        <v>49</v>
      </c>
      <c r="AN256" t="s">
        <v>49</v>
      </c>
      <c r="AO256" t="s">
        <v>49</v>
      </c>
      <c r="AP256" s="3">
        <v>0</v>
      </c>
      <c r="AQ256" t="s">
        <v>49</v>
      </c>
      <c r="AR256" t="s">
        <v>49</v>
      </c>
      <c r="AS256" t="s">
        <v>49</v>
      </c>
      <c r="AT256" t="s">
        <v>49</v>
      </c>
      <c r="AU256" s="5" t="s">
        <v>49</v>
      </c>
      <c r="AV256" t="s">
        <v>49</v>
      </c>
      <c r="AW256" t="s">
        <v>49</v>
      </c>
      <c r="AX256" t="s">
        <v>49</v>
      </c>
      <c r="AY256" t="s">
        <v>49</v>
      </c>
    </row>
    <row r="257" spans="1:51" ht="16.05" hidden="1" customHeight="1" x14ac:dyDescent="0.3">
      <c r="A257" s="2" t="s">
        <v>434</v>
      </c>
      <c r="B257" s="3" t="s">
        <v>140</v>
      </c>
      <c r="C257" s="7" t="s">
        <v>336</v>
      </c>
      <c r="D257" s="3" t="s">
        <v>101</v>
      </c>
      <c r="E257" s="3" t="s">
        <v>103</v>
      </c>
      <c r="F257" s="3" t="s">
        <v>106</v>
      </c>
      <c r="G257" s="5" t="s">
        <v>49</v>
      </c>
      <c r="H257" s="5" t="s">
        <v>49</v>
      </c>
      <c r="I257" s="6">
        <v>45839</v>
      </c>
      <c r="J257" s="3">
        <v>60000</v>
      </c>
      <c r="K257" s="6">
        <v>45978</v>
      </c>
      <c r="L257" s="18">
        <v>45962</v>
      </c>
      <c r="M257" s="6">
        <f t="shared" si="7"/>
        <v>45977</v>
      </c>
      <c r="N257" s="3" t="s">
        <v>49</v>
      </c>
      <c r="O257" s="3" t="s">
        <v>239</v>
      </c>
      <c r="P257">
        <v>0.5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t="s">
        <v>49</v>
      </c>
      <c r="AR257" s="3">
        <v>0</v>
      </c>
      <c r="AS257" t="s">
        <v>49</v>
      </c>
      <c r="AT257" t="s">
        <v>49</v>
      </c>
      <c r="AU257" s="5" t="s">
        <v>49</v>
      </c>
      <c r="AV257" t="s">
        <v>49</v>
      </c>
      <c r="AW257" t="s">
        <v>49</v>
      </c>
      <c r="AX257" t="s">
        <v>49</v>
      </c>
      <c r="AY257" t="s">
        <v>49</v>
      </c>
    </row>
    <row r="258" spans="1:51" ht="16.05" hidden="1" customHeight="1" x14ac:dyDescent="0.3">
      <c r="A258" s="2" t="s">
        <v>435</v>
      </c>
      <c r="B258" s="3" t="s">
        <v>140</v>
      </c>
      <c r="C258" s="7" t="s">
        <v>336</v>
      </c>
      <c r="D258" s="3" t="s">
        <v>101</v>
      </c>
      <c r="E258" s="3" t="s">
        <v>103</v>
      </c>
      <c r="F258" s="3" t="s">
        <v>106</v>
      </c>
      <c r="G258" s="5" t="s">
        <v>49</v>
      </c>
      <c r="H258" s="5" t="s">
        <v>49</v>
      </c>
      <c r="I258" s="6">
        <v>45686</v>
      </c>
      <c r="J258" s="3">
        <v>100000</v>
      </c>
      <c r="K258" s="6">
        <v>45978</v>
      </c>
      <c r="L258" s="18">
        <v>45962</v>
      </c>
      <c r="M258" s="6">
        <f t="shared" si="7"/>
        <v>45977</v>
      </c>
      <c r="N258" t="s">
        <v>49</v>
      </c>
      <c r="O258" t="s">
        <v>49</v>
      </c>
      <c r="P258">
        <v>0.5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49</v>
      </c>
      <c r="Y258" t="s">
        <v>49</v>
      </c>
      <c r="Z258" t="s">
        <v>49</v>
      </c>
      <c r="AA258" t="s">
        <v>49</v>
      </c>
      <c r="AB258" t="s">
        <v>49</v>
      </c>
      <c r="AC258" s="3">
        <v>0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49</v>
      </c>
      <c r="AL258" t="s">
        <v>49</v>
      </c>
      <c r="AM258" t="s">
        <v>49</v>
      </c>
      <c r="AN258" t="s">
        <v>49</v>
      </c>
      <c r="AO258" t="s">
        <v>49</v>
      </c>
      <c r="AP258" s="3">
        <v>0</v>
      </c>
      <c r="AQ258" t="s">
        <v>49</v>
      </c>
      <c r="AR258" t="s">
        <v>49</v>
      </c>
      <c r="AS258" t="s">
        <v>49</v>
      </c>
      <c r="AT258" t="s">
        <v>49</v>
      </c>
      <c r="AU258" s="5" t="s">
        <v>49</v>
      </c>
      <c r="AV258" t="s">
        <v>49</v>
      </c>
      <c r="AW258" t="s">
        <v>49</v>
      </c>
      <c r="AX258" t="s">
        <v>49</v>
      </c>
      <c r="AY258" t="s">
        <v>49</v>
      </c>
    </row>
    <row r="259" spans="1:51" ht="16.05" hidden="1" customHeight="1" x14ac:dyDescent="0.3">
      <c r="A259" s="2" t="s">
        <v>436</v>
      </c>
      <c r="B259" s="3" t="s">
        <v>436</v>
      </c>
      <c r="C259" s="16" t="s">
        <v>322</v>
      </c>
      <c r="D259" s="3" t="s">
        <v>55</v>
      </c>
      <c r="E259" s="3" t="s">
        <v>57</v>
      </c>
      <c r="F259" s="3" t="s">
        <v>94</v>
      </c>
      <c r="G259" s="5" t="s">
        <v>49</v>
      </c>
      <c r="H259" s="5" t="s">
        <v>49</v>
      </c>
      <c r="I259" s="6">
        <v>45155</v>
      </c>
      <c r="J259" s="3">
        <v>0</v>
      </c>
      <c r="K259" s="6">
        <v>45979</v>
      </c>
      <c r="L259" s="18">
        <v>45962</v>
      </c>
      <c r="M259" s="6">
        <f t="shared" ref="M259:M282" si="8">EDATE(L259,INT(P259)) + (P259-INT(P259)) * DAY(EOMONTH(EDATE(L259,INT(P259)),0))</f>
        <v>45977</v>
      </c>
      <c r="N259" t="s">
        <v>49</v>
      </c>
      <c r="O259" t="s">
        <v>49</v>
      </c>
      <c r="P259">
        <v>0.5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s="3">
        <v>0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49</v>
      </c>
      <c r="AL259" t="s">
        <v>49</v>
      </c>
      <c r="AM259" t="s">
        <v>49</v>
      </c>
      <c r="AN259" t="s">
        <v>49</v>
      </c>
      <c r="AO259" t="s">
        <v>49</v>
      </c>
      <c r="AP259" s="3">
        <v>0</v>
      </c>
      <c r="AQ259" t="s">
        <v>49</v>
      </c>
      <c r="AR259" t="s">
        <v>49</v>
      </c>
      <c r="AS259" t="s">
        <v>49</v>
      </c>
      <c r="AT259" t="s">
        <v>49</v>
      </c>
      <c r="AU259" s="5" t="s">
        <v>49</v>
      </c>
      <c r="AV259" t="s">
        <v>49</v>
      </c>
      <c r="AW259" t="s">
        <v>49</v>
      </c>
      <c r="AX259" t="s">
        <v>49</v>
      </c>
      <c r="AY259" t="s">
        <v>49</v>
      </c>
    </row>
    <row r="260" spans="1:51" ht="16.05" hidden="1" customHeight="1" x14ac:dyDescent="0.3">
      <c r="A260" s="2" t="s">
        <v>437</v>
      </c>
      <c r="B260" s="3" t="s">
        <v>438</v>
      </c>
      <c r="C260" s="7" t="s">
        <v>336</v>
      </c>
      <c r="D260" s="3" t="s">
        <v>50</v>
      </c>
      <c r="E260" s="3" t="s">
        <v>53</v>
      </c>
      <c r="F260" s="3" t="s">
        <v>83</v>
      </c>
      <c r="G260" s="8" t="s">
        <v>471</v>
      </c>
      <c r="H260" s="9" t="s">
        <v>70</v>
      </c>
      <c r="I260" s="6">
        <v>45884</v>
      </c>
      <c r="J260" t="s">
        <v>49</v>
      </c>
      <c r="K260" s="6">
        <v>45981</v>
      </c>
      <c r="L260" s="18">
        <v>45962</v>
      </c>
      <c r="M260" s="6">
        <f t="shared" si="8"/>
        <v>45977</v>
      </c>
      <c r="N260" t="s">
        <v>49</v>
      </c>
      <c r="O260" t="s">
        <v>49</v>
      </c>
      <c r="P260">
        <v>0.5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s="3">
        <v>0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49</v>
      </c>
      <c r="AL260" t="s">
        <v>49</v>
      </c>
      <c r="AM260" t="s">
        <v>49</v>
      </c>
      <c r="AN260" t="s">
        <v>49</v>
      </c>
      <c r="AO260" t="s">
        <v>49</v>
      </c>
      <c r="AP260" s="3">
        <v>0</v>
      </c>
      <c r="AQ260" t="s">
        <v>49</v>
      </c>
      <c r="AR260" t="s">
        <v>49</v>
      </c>
      <c r="AS260" t="s">
        <v>49</v>
      </c>
      <c r="AT260" t="s">
        <v>49</v>
      </c>
      <c r="AU260" s="5" t="s">
        <v>49</v>
      </c>
      <c r="AV260" t="s">
        <v>49</v>
      </c>
      <c r="AW260" t="s">
        <v>49</v>
      </c>
      <c r="AX260" t="s">
        <v>49</v>
      </c>
      <c r="AY260" t="s">
        <v>49</v>
      </c>
    </row>
    <row r="261" spans="1:51" ht="16.05" hidden="1" customHeight="1" x14ac:dyDescent="0.3">
      <c r="A261" s="2" t="s">
        <v>439</v>
      </c>
      <c r="B261" s="2" t="s">
        <v>485</v>
      </c>
      <c r="C261" s="16" t="s">
        <v>322</v>
      </c>
      <c r="D261" s="3" t="s">
        <v>55</v>
      </c>
      <c r="E261" s="3" t="s">
        <v>57</v>
      </c>
      <c r="F261" s="3" t="s">
        <v>94</v>
      </c>
      <c r="G261" s="8" t="s">
        <v>471</v>
      </c>
      <c r="H261" s="10" t="s">
        <v>133</v>
      </c>
      <c r="I261" s="6">
        <v>45924</v>
      </c>
      <c r="J261" s="3">
        <v>90600</v>
      </c>
      <c r="K261" s="6">
        <v>46008</v>
      </c>
      <c r="L261" s="18">
        <v>45931</v>
      </c>
      <c r="M261" s="6">
        <f t="shared" si="8"/>
        <v>45946.5</v>
      </c>
      <c r="N261" s="3" t="s">
        <v>440</v>
      </c>
      <c r="O261" s="3" t="s">
        <v>239</v>
      </c>
      <c r="P261">
        <v>0.5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15100</v>
      </c>
      <c r="AA261" s="3">
        <v>15100</v>
      </c>
      <c r="AB261" s="3">
        <v>15100</v>
      </c>
      <c r="AC261" s="3">
        <v>45300</v>
      </c>
      <c r="AD261" s="3">
        <v>15100</v>
      </c>
      <c r="AE261" s="3">
        <v>15100</v>
      </c>
      <c r="AF261" s="3">
        <v>15100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45300</v>
      </c>
      <c r="AQ261" t="s">
        <v>49</v>
      </c>
      <c r="AR261" s="3">
        <v>15100</v>
      </c>
      <c r="AS261" t="s">
        <v>49</v>
      </c>
      <c r="AT261" t="s">
        <v>49</v>
      </c>
      <c r="AU261" s="5" t="s">
        <v>49</v>
      </c>
      <c r="AV261" t="s">
        <v>49</v>
      </c>
      <c r="AW261" t="s">
        <v>49</v>
      </c>
      <c r="AX261" t="s">
        <v>49</v>
      </c>
      <c r="AY261" t="s">
        <v>49</v>
      </c>
    </row>
    <row r="262" spans="1:51" ht="16.05" hidden="1" customHeight="1" x14ac:dyDescent="0.3">
      <c r="A262" s="2" t="s">
        <v>441</v>
      </c>
      <c r="B262" s="3" t="s">
        <v>137</v>
      </c>
      <c r="C262" s="7" t="s">
        <v>336</v>
      </c>
      <c r="D262" s="3" t="s">
        <v>101</v>
      </c>
      <c r="E262" s="3" t="s">
        <v>103</v>
      </c>
      <c r="F262" s="3" t="s">
        <v>106</v>
      </c>
      <c r="G262" s="5" t="s">
        <v>49</v>
      </c>
      <c r="H262" s="5" t="s">
        <v>49</v>
      </c>
      <c r="I262" s="6">
        <v>45331</v>
      </c>
      <c r="J262" s="3">
        <v>175000</v>
      </c>
      <c r="K262" s="6">
        <v>46062</v>
      </c>
      <c r="L262" s="18">
        <v>46054</v>
      </c>
      <c r="M262" s="6">
        <f t="shared" si="8"/>
        <v>46068</v>
      </c>
      <c r="N262" t="s">
        <v>49</v>
      </c>
      <c r="O262" t="s">
        <v>49</v>
      </c>
      <c r="P262">
        <v>0.5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s="3">
        <v>0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49</v>
      </c>
      <c r="AM262" t="s">
        <v>49</v>
      </c>
      <c r="AN262" t="s">
        <v>49</v>
      </c>
      <c r="AO262" t="s">
        <v>49</v>
      </c>
      <c r="AP262" s="3">
        <v>0</v>
      </c>
      <c r="AQ262" t="s">
        <v>49</v>
      </c>
      <c r="AR262" t="s">
        <v>49</v>
      </c>
      <c r="AS262" t="s">
        <v>49</v>
      </c>
      <c r="AT262" t="s">
        <v>49</v>
      </c>
      <c r="AU262" s="5" t="s">
        <v>49</v>
      </c>
      <c r="AV262" t="s">
        <v>49</v>
      </c>
      <c r="AW262" t="s">
        <v>49</v>
      </c>
      <c r="AX262" t="s">
        <v>49</v>
      </c>
      <c r="AY262" t="s">
        <v>49</v>
      </c>
    </row>
    <row r="263" spans="1:51" ht="16.05" hidden="1" customHeight="1" x14ac:dyDescent="0.3">
      <c r="A263" s="2" t="s">
        <v>442</v>
      </c>
      <c r="B263" s="3" t="s">
        <v>137</v>
      </c>
      <c r="C263" s="7" t="s">
        <v>336</v>
      </c>
      <c r="D263" s="3" t="s">
        <v>101</v>
      </c>
      <c r="E263" s="3" t="s">
        <v>103</v>
      </c>
      <c r="F263" s="3" t="s">
        <v>106</v>
      </c>
      <c r="G263" s="5" t="s">
        <v>49</v>
      </c>
      <c r="H263" s="5" t="s">
        <v>49</v>
      </c>
      <c r="I263" s="6">
        <v>45748</v>
      </c>
      <c r="J263" s="3">
        <v>225000</v>
      </c>
      <c r="K263" s="6">
        <v>46062</v>
      </c>
      <c r="L263" s="18">
        <v>46054</v>
      </c>
      <c r="M263" s="6">
        <f t="shared" si="8"/>
        <v>46068</v>
      </c>
      <c r="N263" t="s">
        <v>49</v>
      </c>
      <c r="O263" t="s">
        <v>49</v>
      </c>
      <c r="P263">
        <v>0.5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s="3">
        <v>0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49</v>
      </c>
      <c r="AL263" t="s">
        <v>49</v>
      </c>
      <c r="AM263" t="s">
        <v>49</v>
      </c>
      <c r="AN263" t="s">
        <v>49</v>
      </c>
      <c r="AO263" t="s">
        <v>49</v>
      </c>
      <c r="AP263" s="3">
        <v>0</v>
      </c>
      <c r="AQ263" t="s">
        <v>49</v>
      </c>
      <c r="AR263" t="s">
        <v>49</v>
      </c>
      <c r="AS263" t="s">
        <v>49</v>
      </c>
      <c r="AT263" t="s">
        <v>49</v>
      </c>
      <c r="AU263" s="5" t="s">
        <v>49</v>
      </c>
      <c r="AV263" t="s">
        <v>49</v>
      </c>
      <c r="AW263" t="s">
        <v>49</v>
      </c>
      <c r="AX263" t="s">
        <v>49</v>
      </c>
      <c r="AY263" t="s">
        <v>49</v>
      </c>
    </row>
    <row r="264" spans="1:51" ht="16.05" hidden="1" customHeight="1" x14ac:dyDescent="0.3">
      <c r="A264" s="2" t="s">
        <v>443</v>
      </c>
      <c r="B264" s="3" t="s">
        <v>444</v>
      </c>
      <c r="C264" s="7" t="s">
        <v>336</v>
      </c>
      <c r="D264" s="3" t="s">
        <v>55</v>
      </c>
      <c r="E264" s="3" t="s">
        <v>57</v>
      </c>
      <c r="F264" s="3" t="s">
        <v>121</v>
      </c>
      <c r="G264" s="8" t="s">
        <v>471</v>
      </c>
      <c r="H264" s="10" t="s">
        <v>133</v>
      </c>
      <c r="I264" s="6">
        <v>45877</v>
      </c>
      <c r="J264" s="3">
        <v>69950</v>
      </c>
      <c r="K264" s="6">
        <v>46086</v>
      </c>
      <c r="L264" s="18">
        <v>46054</v>
      </c>
      <c r="M264" s="6">
        <f t="shared" si="8"/>
        <v>46082</v>
      </c>
      <c r="N264" s="3" t="s">
        <v>299</v>
      </c>
      <c r="O264" s="3" t="s">
        <v>164</v>
      </c>
      <c r="P264" s="3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t="s">
        <v>49</v>
      </c>
      <c r="AR264" t="s">
        <v>49</v>
      </c>
      <c r="AS264" t="s">
        <v>49</v>
      </c>
      <c r="AT264" t="s">
        <v>49</v>
      </c>
      <c r="AU264" s="5" t="s">
        <v>49</v>
      </c>
      <c r="AV264" t="s">
        <v>49</v>
      </c>
      <c r="AW264" t="s">
        <v>49</v>
      </c>
      <c r="AX264" t="s">
        <v>49</v>
      </c>
      <c r="AY264" t="s">
        <v>49</v>
      </c>
    </row>
    <row r="265" spans="1:51" ht="16.05" hidden="1" customHeight="1" x14ac:dyDescent="0.3">
      <c r="A265" s="2" t="s">
        <v>445</v>
      </c>
      <c r="B265" s="3" t="s">
        <v>446</v>
      </c>
      <c r="C265" s="16" t="s">
        <v>322</v>
      </c>
      <c r="D265" s="3" t="s">
        <v>55</v>
      </c>
      <c r="E265" s="3" t="s">
        <v>57</v>
      </c>
      <c r="F265" s="3" t="s">
        <v>56</v>
      </c>
      <c r="G265" s="5" t="s">
        <v>49</v>
      </c>
      <c r="H265" s="5" t="s">
        <v>49</v>
      </c>
      <c r="I265" s="6">
        <v>46055</v>
      </c>
      <c r="J265" t="s">
        <v>49</v>
      </c>
      <c r="K265" s="6">
        <v>46087</v>
      </c>
      <c r="L265" s="18">
        <v>46082</v>
      </c>
      <c r="M265" s="6">
        <f t="shared" si="8"/>
        <v>46097.5</v>
      </c>
      <c r="N265" t="s">
        <v>49</v>
      </c>
      <c r="O265" t="s">
        <v>49</v>
      </c>
      <c r="P265">
        <v>0.5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s="3">
        <v>0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49</v>
      </c>
      <c r="AL265" t="s">
        <v>49</v>
      </c>
      <c r="AM265" t="s">
        <v>49</v>
      </c>
      <c r="AN265" t="s">
        <v>49</v>
      </c>
      <c r="AO265" t="s">
        <v>49</v>
      </c>
      <c r="AP265" s="3">
        <v>0</v>
      </c>
      <c r="AQ265" t="s">
        <v>49</v>
      </c>
      <c r="AR265" t="s">
        <v>49</v>
      </c>
      <c r="AS265" t="s">
        <v>49</v>
      </c>
      <c r="AT265" t="s">
        <v>49</v>
      </c>
      <c r="AU265" s="5" t="s">
        <v>49</v>
      </c>
      <c r="AV265" t="s">
        <v>49</v>
      </c>
      <c r="AW265" t="s">
        <v>49</v>
      </c>
      <c r="AX265" t="s">
        <v>49</v>
      </c>
      <c r="AY265" t="s">
        <v>49</v>
      </c>
    </row>
    <row r="266" spans="1:51" ht="16.05" hidden="1" customHeight="1" x14ac:dyDescent="0.3">
      <c r="A266" s="2" t="s">
        <v>447</v>
      </c>
      <c r="B266" s="3" t="s">
        <v>448</v>
      </c>
      <c r="C266" s="16" t="s">
        <v>322</v>
      </c>
      <c r="D266" s="3" t="s">
        <v>55</v>
      </c>
      <c r="E266" s="3" t="s">
        <v>57</v>
      </c>
      <c r="F266" s="3" t="s">
        <v>56</v>
      </c>
      <c r="G266" s="5" t="s">
        <v>49</v>
      </c>
      <c r="H266" s="5" t="s">
        <v>49</v>
      </c>
      <c r="I266" s="6">
        <v>45979</v>
      </c>
      <c r="J266" s="3">
        <v>40000</v>
      </c>
      <c r="K266" s="6">
        <v>46087</v>
      </c>
      <c r="L266" s="18">
        <v>46082</v>
      </c>
      <c r="M266" s="6">
        <f t="shared" si="8"/>
        <v>46097.5</v>
      </c>
      <c r="N266" t="s">
        <v>49</v>
      </c>
      <c r="O266" t="s">
        <v>49</v>
      </c>
      <c r="P266">
        <v>0.5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49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49</v>
      </c>
      <c r="AC266" s="3">
        <v>0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49</v>
      </c>
      <c r="AM266" t="s">
        <v>49</v>
      </c>
      <c r="AN266" t="s">
        <v>49</v>
      </c>
      <c r="AO266" t="s">
        <v>49</v>
      </c>
      <c r="AP266" s="3">
        <v>0</v>
      </c>
      <c r="AQ266" t="s">
        <v>49</v>
      </c>
      <c r="AR266" t="s">
        <v>49</v>
      </c>
      <c r="AS266" t="s">
        <v>49</v>
      </c>
      <c r="AT266" t="s">
        <v>49</v>
      </c>
      <c r="AU266" s="5" t="s">
        <v>49</v>
      </c>
      <c r="AV266" t="s">
        <v>49</v>
      </c>
      <c r="AW266" t="s">
        <v>49</v>
      </c>
      <c r="AX266" t="s">
        <v>49</v>
      </c>
      <c r="AY266" t="s">
        <v>49</v>
      </c>
    </row>
    <row r="267" spans="1:51" ht="16.05" hidden="1" customHeight="1" x14ac:dyDescent="0.3">
      <c r="A267" s="2" t="s">
        <v>449</v>
      </c>
      <c r="B267" s="2" t="s">
        <v>486</v>
      </c>
      <c r="C267" s="16" t="s">
        <v>322</v>
      </c>
      <c r="D267" s="3" t="s">
        <v>50</v>
      </c>
      <c r="E267" s="3" t="s">
        <v>474</v>
      </c>
      <c r="F267" s="3" t="s">
        <v>83</v>
      </c>
      <c r="G267" s="5" t="s">
        <v>49</v>
      </c>
      <c r="H267" s="5" t="s">
        <v>49</v>
      </c>
      <c r="I267" s="6">
        <v>45804</v>
      </c>
      <c r="J267" t="s">
        <v>49</v>
      </c>
      <c r="K267" s="6">
        <v>46101</v>
      </c>
      <c r="L267" s="18">
        <v>46082</v>
      </c>
      <c r="M267" s="6">
        <f t="shared" si="8"/>
        <v>46097.5</v>
      </c>
      <c r="N267" t="s">
        <v>49</v>
      </c>
      <c r="O267" t="s">
        <v>49</v>
      </c>
      <c r="P267">
        <v>0.5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s="3">
        <v>0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49</v>
      </c>
      <c r="AL267" t="s">
        <v>49</v>
      </c>
      <c r="AM267" t="s">
        <v>49</v>
      </c>
      <c r="AN267" t="s">
        <v>49</v>
      </c>
      <c r="AO267" t="s">
        <v>49</v>
      </c>
      <c r="AP267" s="3">
        <v>0</v>
      </c>
      <c r="AQ267" t="s">
        <v>49</v>
      </c>
      <c r="AR267" t="s">
        <v>49</v>
      </c>
      <c r="AS267" t="s">
        <v>49</v>
      </c>
      <c r="AT267" t="s">
        <v>49</v>
      </c>
      <c r="AU267" s="5" t="s">
        <v>49</v>
      </c>
      <c r="AV267" t="s">
        <v>49</v>
      </c>
      <c r="AW267" t="s">
        <v>49</v>
      </c>
      <c r="AX267" t="s">
        <v>49</v>
      </c>
      <c r="AY267" t="s">
        <v>49</v>
      </c>
    </row>
    <row r="268" spans="1:51" ht="16.05" hidden="1" customHeight="1" x14ac:dyDescent="0.3">
      <c r="A268" s="2" t="s">
        <v>145</v>
      </c>
      <c r="B268" s="3" t="s">
        <v>145</v>
      </c>
      <c r="C268" s="7" t="s">
        <v>336</v>
      </c>
      <c r="D268" s="3" t="s">
        <v>101</v>
      </c>
      <c r="E268" s="3" t="s">
        <v>103</v>
      </c>
      <c r="F268" s="3" t="s">
        <v>106</v>
      </c>
      <c r="G268" s="5" t="s">
        <v>49</v>
      </c>
      <c r="H268" s="5" t="s">
        <v>49</v>
      </c>
      <c r="I268" s="6">
        <v>45708</v>
      </c>
      <c r="J268" s="3">
        <v>50000</v>
      </c>
      <c r="K268" s="6">
        <v>46111</v>
      </c>
      <c r="L268" s="18">
        <v>46082</v>
      </c>
      <c r="M268" s="6">
        <f t="shared" si="8"/>
        <v>46097.5</v>
      </c>
      <c r="N268" t="s">
        <v>49</v>
      </c>
      <c r="O268" t="s">
        <v>49</v>
      </c>
      <c r="P268">
        <v>0.5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s="3">
        <v>0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  <c r="AK268" t="s">
        <v>49</v>
      </c>
      <c r="AL268" t="s">
        <v>49</v>
      </c>
      <c r="AM268" t="s">
        <v>49</v>
      </c>
      <c r="AN268" t="s">
        <v>49</v>
      </c>
      <c r="AO268" t="s">
        <v>49</v>
      </c>
      <c r="AP268" s="3">
        <v>0</v>
      </c>
      <c r="AQ268" t="s">
        <v>49</v>
      </c>
      <c r="AR268" t="s">
        <v>49</v>
      </c>
      <c r="AS268" t="s">
        <v>49</v>
      </c>
      <c r="AT268" t="s">
        <v>49</v>
      </c>
      <c r="AU268" s="5" t="s">
        <v>49</v>
      </c>
      <c r="AV268" t="s">
        <v>49</v>
      </c>
      <c r="AW268" t="s">
        <v>49</v>
      </c>
      <c r="AX268" t="s">
        <v>49</v>
      </c>
      <c r="AY268" t="s">
        <v>49</v>
      </c>
    </row>
    <row r="269" spans="1:51" ht="16.05" hidden="1" customHeight="1" x14ac:dyDescent="0.3">
      <c r="A269" s="2" t="s">
        <v>450</v>
      </c>
      <c r="B269" s="3" t="s">
        <v>451</v>
      </c>
      <c r="C269" s="7" t="s">
        <v>336</v>
      </c>
      <c r="D269" s="3" t="s">
        <v>101</v>
      </c>
      <c r="E269" s="3" t="s">
        <v>103</v>
      </c>
      <c r="F269" s="3" t="s">
        <v>106</v>
      </c>
      <c r="G269" s="5" t="s">
        <v>49</v>
      </c>
      <c r="H269" s="5" t="s">
        <v>49</v>
      </c>
      <c r="I269" s="6">
        <v>45331</v>
      </c>
      <c r="J269" t="s">
        <v>49</v>
      </c>
      <c r="K269" s="6">
        <v>46111</v>
      </c>
      <c r="L269" s="18">
        <v>46082</v>
      </c>
      <c r="M269" s="6">
        <f t="shared" si="8"/>
        <v>46097.5</v>
      </c>
      <c r="N269" t="s">
        <v>49</v>
      </c>
      <c r="O269" t="s">
        <v>49</v>
      </c>
      <c r="P269">
        <v>0.5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s="3">
        <v>0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  <c r="AK269" t="s">
        <v>49</v>
      </c>
      <c r="AL269" t="s">
        <v>49</v>
      </c>
      <c r="AM269" t="s">
        <v>49</v>
      </c>
      <c r="AN269" t="s">
        <v>49</v>
      </c>
      <c r="AO269" t="s">
        <v>49</v>
      </c>
      <c r="AP269" s="3">
        <v>0</v>
      </c>
      <c r="AQ269" t="s">
        <v>49</v>
      </c>
      <c r="AR269" t="s">
        <v>49</v>
      </c>
      <c r="AS269" t="s">
        <v>49</v>
      </c>
      <c r="AT269" t="s">
        <v>49</v>
      </c>
      <c r="AU269" s="5" t="s">
        <v>49</v>
      </c>
      <c r="AV269" t="s">
        <v>49</v>
      </c>
      <c r="AW269" t="s">
        <v>49</v>
      </c>
      <c r="AX269" t="s">
        <v>49</v>
      </c>
      <c r="AY269" t="s">
        <v>49</v>
      </c>
    </row>
    <row r="270" spans="1:51" ht="16.05" hidden="1" customHeight="1" x14ac:dyDescent="0.3">
      <c r="A270" s="2" t="s">
        <v>452</v>
      </c>
      <c r="B270" s="3" t="s">
        <v>453</v>
      </c>
      <c r="C270" s="7" t="s">
        <v>336</v>
      </c>
      <c r="D270" s="3" t="s">
        <v>101</v>
      </c>
      <c r="E270" s="3" t="s">
        <v>103</v>
      </c>
      <c r="F270" s="3" t="s">
        <v>106</v>
      </c>
      <c r="G270" s="5" t="s">
        <v>49</v>
      </c>
      <c r="H270" s="5" t="s">
        <v>49</v>
      </c>
      <c r="I270" s="6">
        <v>45331</v>
      </c>
      <c r="J270" t="s">
        <v>49</v>
      </c>
      <c r="K270" s="6">
        <v>46111</v>
      </c>
      <c r="L270" s="18">
        <v>46082</v>
      </c>
      <c r="M270" s="6">
        <f t="shared" si="8"/>
        <v>46097.5</v>
      </c>
      <c r="N270" t="s">
        <v>49</v>
      </c>
      <c r="O270" t="s">
        <v>49</v>
      </c>
      <c r="P270">
        <v>0.5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49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s="3">
        <v>0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  <c r="AK270" t="s">
        <v>49</v>
      </c>
      <c r="AL270" t="s">
        <v>49</v>
      </c>
      <c r="AM270" t="s">
        <v>49</v>
      </c>
      <c r="AN270" t="s">
        <v>49</v>
      </c>
      <c r="AO270" t="s">
        <v>49</v>
      </c>
      <c r="AP270" s="3">
        <v>0</v>
      </c>
      <c r="AQ270" t="s">
        <v>49</v>
      </c>
      <c r="AR270" t="s">
        <v>49</v>
      </c>
      <c r="AS270" t="s">
        <v>49</v>
      </c>
      <c r="AT270" t="s">
        <v>49</v>
      </c>
      <c r="AU270" s="5" t="s">
        <v>49</v>
      </c>
      <c r="AV270" t="s">
        <v>49</v>
      </c>
      <c r="AW270" t="s">
        <v>49</v>
      </c>
      <c r="AX270" t="s">
        <v>49</v>
      </c>
      <c r="AY270" t="s">
        <v>49</v>
      </c>
    </row>
    <row r="271" spans="1:51" ht="16.05" hidden="1" customHeight="1" x14ac:dyDescent="0.3">
      <c r="A271" s="2" t="s">
        <v>454</v>
      </c>
      <c r="B271" s="2" t="s">
        <v>487</v>
      </c>
      <c r="C271" s="7" t="s">
        <v>336</v>
      </c>
      <c r="D271" s="3" t="s">
        <v>50</v>
      </c>
      <c r="E271" s="3" t="s">
        <v>53</v>
      </c>
      <c r="F271" s="3" t="s">
        <v>106</v>
      </c>
      <c r="G271" s="5" t="s">
        <v>49</v>
      </c>
      <c r="H271" s="5" t="s">
        <v>49</v>
      </c>
      <c r="I271" s="6">
        <v>45684</v>
      </c>
      <c r="J271" t="s">
        <v>49</v>
      </c>
      <c r="K271" s="6">
        <v>46111</v>
      </c>
      <c r="L271" s="18">
        <v>46082</v>
      </c>
      <c r="M271" s="6">
        <f t="shared" si="8"/>
        <v>46097.5</v>
      </c>
      <c r="N271" t="s">
        <v>49</v>
      </c>
      <c r="O271" t="s">
        <v>49</v>
      </c>
      <c r="P271">
        <v>0.5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49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s="3">
        <v>0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  <c r="AK271" t="s">
        <v>49</v>
      </c>
      <c r="AL271" t="s">
        <v>49</v>
      </c>
      <c r="AM271" t="s">
        <v>49</v>
      </c>
      <c r="AN271" t="s">
        <v>49</v>
      </c>
      <c r="AO271" t="s">
        <v>49</v>
      </c>
      <c r="AP271" s="3">
        <v>0</v>
      </c>
      <c r="AQ271" t="s">
        <v>49</v>
      </c>
      <c r="AR271" t="s">
        <v>49</v>
      </c>
      <c r="AS271" t="s">
        <v>49</v>
      </c>
      <c r="AT271" t="s">
        <v>49</v>
      </c>
      <c r="AU271" s="5" t="s">
        <v>49</v>
      </c>
      <c r="AV271" t="s">
        <v>49</v>
      </c>
      <c r="AW271" t="s">
        <v>49</v>
      </c>
      <c r="AX271" t="s">
        <v>49</v>
      </c>
      <c r="AY271" t="s">
        <v>49</v>
      </c>
    </row>
    <row r="272" spans="1:51" ht="16.05" hidden="1" customHeight="1" x14ac:dyDescent="0.3">
      <c r="A272" s="2" t="s">
        <v>455</v>
      </c>
      <c r="B272" s="3" t="s">
        <v>400</v>
      </c>
      <c r="C272" s="7" t="s">
        <v>336</v>
      </c>
      <c r="D272" s="3" t="s">
        <v>101</v>
      </c>
      <c r="E272" s="3" t="s">
        <v>103</v>
      </c>
      <c r="F272" s="3" t="s">
        <v>106</v>
      </c>
      <c r="G272" s="5" t="s">
        <v>49</v>
      </c>
      <c r="H272" s="5" t="s">
        <v>49</v>
      </c>
      <c r="I272" s="6">
        <v>45726</v>
      </c>
      <c r="J272" t="s">
        <v>49</v>
      </c>
      <c r="K272" s="6">
        <v>46111</v>
      </c>
      <c r="L272" s="18">
        <v>46082</v>
      </c>
      <c r="M272" s="6">
        <f t="shared" si="8"/>
        <v>46097.5</v>
      </c>
      <c r="N272" t="s">
        <v>49</v>
      </c>
      <c r="O272" t="s">
        <v>49</v>
      </c>
      <c r="P272">
        <v>0.5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49</v>
      </c>
      <c r="Z272" t="s">
        <v>49</v>
      </c>
      <c r="AA272" t="s">
        <v>49</v>
      </c>
      <c r="AB272" t="s">
        <v>49</v>
      </c>
      <c r="AC272" s="3">
        <v>0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  <c r="AK272" t="s">
        <v>49</v>
      </c>
      <c r="AL272" t="s">
        <v>49</v>
      </c>
      <c r="AM272" t="s">
        <v>49</v>
      </c>
      <c r="AN272" t="s">
        <v>49</v>
      </c>
      <c r="AO272" t="s">
        <v>49</v>
      </c>
      <c r="AP272" s="3">
        <v>0</v>
      </c>
      <c r="AQ272" t="s">
        <v>49</v>
      </c>
      <c r="AR272" t="s">
        <v>49</v>
      </c>
      <c r="AS272" t="s">
        <v>49</v>
      </c>
      <c r="AT272" t="s">
        <v>49</v>
      </c>
      <c r="AU272" s="5" t="s">
        <v>49</v>
      </c>
      <c r="AV272" t="s">
        <v>49</v>
      </c>
      <c r="AW272" t="s">
        <v>49</v>
      </c>
      <c r="AX272" t="s">
        <v>49</v>
      </c>
      <c r="AY272" t="s">
        <v>49</v>
      </c>
    </row>
    <row r="273" spans="1:51" ht="16.05" hidden="1" customHeight="1" x14ac:dyDescent="0.3">
      <c r="A273" s="2" t="s">
        <v>456</v>
      </c>
      <c r="B273" s="3" t="s">
        <v>456</v>
      </c>
      <c r="C273" s="7" t="s">
        <v>336</v>
      </c>
      <c r="D273" s="3" t="s">
        <v>101</v>
      </c>
      <c r="E273" s="3" t="s">
        <v>103</v>
      </c>
      <c r="F273" s="3" t="s">
        <v>106</v>
      </c>
      <c r="G273" s="5" t="s">
        <v>49</v>
      </c>
      <c r="H273" s="5" t="s">
        <v>49</v>
      </c>
      <c r="I273" s="6">
        <v>45726</v>
      </c>
      <c r="J273" t="s">
        <v>49</v>
      </c>
      <c r="K273" s="6">
        <v>46111</v>
      </c>
      <c r="L273" s="18">
        <v>46082</v>
      </c>
      <c r="M273" s="6">
        <f t="shared" si="8"/>
        <v>46097.5</v>
      </c>
      <c r="N273" t="s">
        <v>49</v>
      </c>
      <c r="O273" t="s">
        <v>49</v>
      </c>
      <c r="P273">
        <v>0.5</v>
      </c>
      <c r="Q273" t="s">
        <v>49</v>
      </c>
      <c r="R273" t="s">
        <v>49</v>
      </c>
      <c r="S273" t="s">
        <v>49</v>
      </c>
      <c r="T273" t="s">
        <v>49</v>
      </c>
      <c r="U273" t="s">
        <v>49</v>
      </c>
      <c r="V273" t="s">
        <v>49</v>
      </c>
      <c r="W273" t="s">
        <v>49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s="3">
        <v>0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  <c r="AK273" t="s">
        <v>49</v>
      </c>
      <c r="AL273" t="s">
        <v>49</v>
      </c>
      <c r="AM273" t="s">
        <v>49</v>
      </c>
      <c r="AN273" t="s">
        <v>49</v>
      </c>
      <c r="AO273" t="s">
        <v>49</v>
      </c>
      <c r="AP273" s="3">
        <v>0</v>
      </c>
      <c r="AQ273" t="s">
        <v>49</v>
      </c>
      <c r="AR273" t="s">
        <v>49</v>
      </c>
      <c r="AS273" t="s">
        <v>49</v>
      </c>
      <c r="AT273" t="s">
        <v>49</v>
      </c>
      <c r="AU273" s="5" t="s">
        <v>49</v>
      </c>
      <c r="AV273" t="s">
        <v>49</v>
      </c>
      <c r="AW273" t="s">
        <v>49</v>
      </c>
      <c r="AX273" t="s">
        <v>49</v>
      </c>
      <c r="AY273" t="s">
        <v>49</v>
      </c>
    </row>
    <row r="274" spans="1:51" ht="16.05" hidden="1" customHeight="1" x14ac:dyDescent="0.3">
      <c r="A274" s="2" t="s">
        <v>457</v>
      </c>
      <c r="B274" s="3" t="s">
        <v>458</v>
      </c>
      <c r="C274" s="7" t="s">
        <v>336</v>
      </c>
      <c r="D274" s="3" t="s">
        <v>101</v>
      </c>
      <c r="E274" s="3" t="s">
        <v>103</v>
      </c>
      <c r="F274" s="3" t="s">
        <v>106</v>
      </c>
      <c r="G274" s="5" t="s">
        <v>49</v>
      </c>
      <c r="H274" s="5" t="s">
        <v>49</v>
      </c>
      <c r="I274" s="6">
        <v>45726</v>
      </c>
      <c r="J274" t="s">
        <v>49</v>
      </c>
      <c r="K274" s="6">
        <v>46111</v>
      </c>
      <c r="L274" s="18">
        <v>46082</v>
      </c>
      <c r="M274" s="6">
        <f t="shared" si="8"/>
        <v>46097.5</v>
      </c>
      <c r="N274" t="s">
        <v>49</v>
      </c>
      <c r="O274" t="s">
        <v>49</v>
      </c>
      <c r="P274">
        <v>0.5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s="3">
        <v>0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  <c r="AK274" t="s">
        <v>49</v>
      </c>
      <c r="AL274" t="s">
        <v>49</v>
      </c>
      <c r="AM274" t="s">
        <v>49</v>
      </c>
      <c r="AN274" t="s">
        <v>49</v>
      </c>
      <c r="AO274" t="s">
        <v>49</v>
      </c>
      <c r="AP274" s="3">
        <v>0</v>
      </c>
      <c r="AQ274" t="s">
        <v>49</v>
      </c>
      <c r="AR274" t="s">
        <v>49</v>
      </c>
      <c r="AS274" t="s">
        <v>49</v>
      </c>
      <c r="AT274" t="s">
        <v>49</v>
      </c>
      <c r="AU274" s="5" t="s">
        <v>49</v>
      </c>
      <c r="AV274" t="s">
        <v>49</v>
      </c>
      <c r="AW274" t="s">
        <v>49</v>
      </c>
      <c r="AX274" t="s">
        <v>49</v>
      </c>
      <c r="AY274" t="s">
        <v>49</v>
      </c>
    </row>
    <row r="275" spans="1:51" ht="16.05" hidden="1" customHeight="1" x14ac:dyDescent="0.3">
      <c r="A275" s="2" t="s">
        <v>459</v>
      </c>
      <c r="B275" s="3" t="s">
        <v>460</v>
      </c>
      <c r="C275" s="7" t="s">
        <v>336</v>
      </c>
      <c r="D275" s="3" t="s">
        <v>55</v>
      </c>
      <c r="E275" s="3" t="s">
        <v>57</v>
      </c>
      <c r="F275" s="3" t="s">
        <v>94</v>
      </c>
      <c r="G275" s="5" t="s">
        <v>49</v>
      </c>
      <c r="H275" s="5" t="s">
        <v>49</v>
      </c>
      <c r="I275" s="6">
        <v>45730</v>
      </c>
      <c r="J275" s="3">
        <v>250000</v>
      </c>
      <c r="K275" s="6">
        <v>46127</v>
      </c>
      <c r="L275" s="18">
        <v>46113</v>
      </c>
      <c r="M275" s="6">
        <f t="shared" si="8"/>
        <v>46128</v>
      </c>
      <c r="N275" t="s">
        <v>49</v>
      </c>
      <c r="O275" t="s">
        <v>49</v>
      </c>
      <c r="P275">
        <v>0.5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49</v>
      </c>
      <c r="W275" t="s">
        <v>49</v>
      </c>
      <c r="X275" t="s">
        <v>49</v>
      </c>
      <c r="Y275" t="s">
        <v>49</v>
      </c>
      <c r="Z275" t="s">
        <v>49</v>
      </c>
      <c r="AA275" t="s">
        <v>49</v>
      </c>
      <c r="AB275" t="s">
        <v>49</v>
      </c>
      <c r="AC275" s="3">
        <v>0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  <c r="AK275" t="s">
        <v>49</v>
      </c>
      <c r="AL275" t="s">
        <v>49</v>
      </c>
      <c r="AM275" t="s">
        <v>49</v>
      </c>
      <c r="AN275" t="s">
        <v>49</v>
      </c>
      <c r="AO275" t="s">
        <v>49</v>
      </c>
      <c r="AP275" s="3">
        <v>0</v>
      </c>
      <c r="AQ275" t="s">
        <v>49</v>
      </c>
      <c r="AR275" t="s">
        <v>49</v>
      </c>
      <c r="AS275" t="s">
        <v>49</v>
      </c>
      <c r="AT275" t="s">
        <v>49</v>
      </c>
      <c r="AU275" s="5" t="s">
        <v>49</v>
      </c>
      <c r="AV275" t="s">
        <v>49</v>
      </c>
      <c r="AW275" t="s">
        <v>49</v>
      </c>
      <c r="AX275" t="s">
        <v>49</v>
      </c>
      <c r="AY275" t="s">
        <v>49</v>
      </c>
    </row>
    <row r="276" spans="1:51" ht="16.05" hidden="1" customHeight="1" x14ac:dyDescent="0.3">
      <c r="A276" s="2" t="s">
        <v>461</v>
      </c>
      <c r="B276" s="3" t="s">
        <v>462</v>
      </c>
      <c r="C276" s="7" t="s">
        <v>336</v>
      </c>
      <c r="D276" s="3" t="s">
        <v>55</v>
      </c>
      <c r="E276" s="3" t="s">
        <v>57</v>
      </c>
      <c r="F276" s="3" t="s">
        <v>94</v>
      </c>
      <c r="G276" s="5" t="s">
        <v>49</v>
      </c>
      <c r="H276" s="5" t="s">
        <v>49</v>
      </c>
      <c r="I276" s="6">
        <v>45747</v>
      </c>
      <c r="J276" t="s">
        <v>49</v>
      </c>
      <c r="K276" s="6">
        <v>46127</v>
      </c>
      <c r="L276" s="18">
        <v>46113</v>
      </c>
      <c r="M276" s="6">
        <f t="shared" si="8"/>
        <v>46128</v>
      </c>
      <c r="N276" s="3" t="s">
        <v>49</v>
      </c>
      <c r="O276" t="s">
        <v>49</v>
      </c>
      <c r="P276">
        <v>0.5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49</v>
      </c>
      <c r="W276" t="s">
        <v>49</v>
      </c>
      <c r="X276" t="s">
        <v>49</v>
      </c>
      <c r="Y276" t="s">
        <v>49</v>
      </c>
      <c r="Z276" t="s">
        <v>49</v>
      </c>
      <c r="AA276" t="s">
        <v>49</v>
      </c>
      <c r="AB276" t="s">
        <v>49</v>
      </c>
      <c r="AC276" s="3">
        <v>0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  <c r="AK276" t="s">
        <v>49</v>
      </c>
      <c r="AL276" t="s">
        <v>49</v>
      </c>
      <c r="AM276" t="s">
        <v>49</v>
      </c>
      <c r="AN276" t="s">
        <v>49</v>
      </c>
      <c r="AO276" t="s">
        <v>49</v>
      </c>
      <c r="AP276" s="3">
        <v>0</v>
      </c>
      <c r="AQ276" t="s">
        <v>49</v>
      </c>
      <c r="AR276" t="s">
        <v>49</v>
      </c>
      <c r="AS276" t="s">
        <v>49</v>
      </c>
      <c r="AT276" t="s">
        <v>49</v>
      </c>
      <c r="AU276" s="5" t="s">
        <v>49</v>
      </c>
      <c r="AV276" t="s">
        <v>49</v>
      </c>
      <c r="AW276" t="s">
        <v>49</v>
      </c>
      <c r="AX276" t="s">
        <v>49</v>
      </c>
      <c r="AY276" t="s">
        <v>49</v>
      </c>
    </row>
    <row r="277" spans="1:51" ht="16.05" hidden="1" customHeight="1" x14ac:dyDescent="0.3">
      <c r="A277" s="2" t="s">
        <v>463</v>
      </c>
      <c r="B277" s="2" t="s">
        <v>463</v>
      </c>
      <c r="C277" s="7" t="s">
        <v>336</v>
      </c>
      <c r="D277" s="3" t="s">
        <v>55</v>
      </c>
      <c r="E277" s="3" t="s">
        <v>57</v>
      </c>
      <c r="F277" s="3" t="s">
        <v>94</v>
      </c>
      <c r="G277" s="5" t="s">
        <v>49</v>
      </c>
      <c r="H277" s="5" t="s">
        <v>49</v>
      </c>
      <c r="I277" s="6">
        <v>45751</v>
      </c>
      <c r="J277" t="s">
        <v>49</v>
      </c>
      <c r="K277" s="6">
        <v>46127</v>
      </c>
      <c r="L277" s="18">
        <v>46113</v>
      </c>
      <c r="M277" s="6">
        <f t="shared" si="8"/>
        <v>46128</v>
      </c>
      <c r="N277" t="s">
        <v>49</v>
      </c>
      <c r="O277" t="s">
        <v>49</v>
      </c>
      <c r="P277">
        <v>0.5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49</v>
      </c>
      <c r="Y277" t="s">
        <v>49</v>
      </c>
      <c r="Z277" t="s">
        <v>49</v>
      </c>
      <c r="AA277" t="s">
        <v>49</v>
      </c>
      <c r="AB277" t="s">
        <v>49</v>
      </c>
      <c r="AC277" s="3">
        <v>0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  <c r="AK277" t="s">
        <v>49</v>
      </c>
      <c r="AL277" t="s">
        <v>49</v>
      </c>
      <c r="AM277" t="s">
        <v>49</v>
      </c>
      <c r="AN277" t="s">
        <v>49</v>
      </c>
      <c r="AO277" t="s">
        <v>49</v>
      </c>
      <c r="AP277" s="3">
        <v>0</v>
      </c>
      <c r="AQ277" t="s">
        <v>49</v>
      </c>
      <c r="AR277" t="s">
        <v>49</v>
      </c>
      <c r="AS277" t="s">
        <v>49</v>
      </c>
      <c r="AT277" t="s">
        <v>49</v>
      </c>
      <c r="AU277" s="5" t="s">
        <v>49</v>
      </c>
      <c r="AV277" t="s">
        <v>49</v>
      </c>
      <c r="AW277" t="s">
        <v>49</v>
      </c>
      <c r="AX277" t="s">
        <v>49</v>
      </c>
      <c r="AY277" t="s">
        <v>49</v>
      </c>
    </row>
    <row r="278" spans="1:51" ht="16.05" hidden="1" customHeight="1" x14ac:dyDescent="0.3">
      <c r="A278" s="2" t="s">
        <v>464</v>
      </c>
      <c r="B278" s="2" t="s">
        <v>488</v>
      </c>
      <c r="C278" s="7" t="s">
        <v>336</v>
      </c>
      <c r="D278" s="3" t="s">
        <v>55</v>
      </c>
      <c r="E278" s="3" t="s">
        <v>57</v>
      </c>
      <c r="F278" s="3" t="s">
        <v>94</v>
      </c>
      <c r="G278" s="5" t="s">
        <v>49</v>
      </c>
      <c r="H278" s="5" t="s">
        <v>49</v>
      </c>
      <c r="I278" s="6">
        <v>45776</v>
      </c>
      <c r="J278" t="s">
        <v>49</v>
      </c>
      <c r="K278" s="6">
        <v>46127</v>
      </c>
      <c r="L278" s="18">
        <v>46113</v>
      </c>
      <c r="M278" s="6">
        <f t="shared" si="8"/>
        <v>46128</v>
      </c>
      <c r="N278" t="s">
        <v>49</v>
      </c>
      <c r="O278" t="s">
        <v>49</v>
      </c>
      <c r="P278">
        <v>0.5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s="3">
        <v>0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  <c r="AK278" t="s">
        <v>49</v>
      </c>
      <c r="AL278" t="s">
        <v>49</v>
      </c>
      <c r="AM278" t="s">
        <v>49</v>
      </c>
      <c r="AN278" t="s">
        <v>49</v>
      </c>
      <c r="AO278" t="s">
        <v>49</v>
      </c>
      <c r="AP278" s="3">
        <v>0</v>
      </c>
      <c r="AQ278" t="s">
        <v>49</v>
      </c>
      <c r="AR278" t="s">
        <v>49</v>
      </c>
      <c r="AS278" t="s">
        <v>49</v>
      </c>
      <c r="AT278" t="s">
        <v>49</v>
      </c>
      <c r="AU278" s="5" t="s">
        <v>49</v>
      </c>
      <c r="AV278" t="s">
        <v>49</v>
      </c>
      <c r="AW278" t="s">
        <v>49</v>
      </c>
      <c r="AX278" t="s">
        <v>49</v>
      </c>
      <c r="AY278" t="s">
        <v>49</v>
      </c>
    </row>
    <row r="279" spans="1:51" ht="16.05" hidden="1" customHeight="1" x14ac:dyDescent="0.3">
      <c r="A279" s="2" t="s">
        <v>465</v>
      </c>
      <c r="B279" s="3" t="s">
        <v>406</v>
      </c>
      <c r="C279" s="7" t="s">
        <v>336</v>
      </c>
      <c r="D279" s="3" t="s">
        <v>101</v>
      </c>
      <c r="E279" s="3" t="s">
        <v>103</v>
      </c>
      <c r="F279" s="3" t="s">
        <v>94</v>
      </c>
      <c r="G279" s="5" t="s">
        <v>49</v>
      </c>
      <c r="H279" s="5" t="s">
        <v>49</v>
      </c>
      <c r="I279" s="6">
        <v>45331</v>
      </c>
      <c r="J279" t="s">
        <v>49</v>
      </c>
      <c r="K279" s="6">
        <v>46127</v>
      </c>
      <c r="L279" s="18">
        <v>46113</v>
      </c>
      <c r="M279" s="6">
        <f t="shared" si="8"/>
        <v>46128</v>
      </c>
      <c r="N279" t="s">
        <v>49</v>
      </c>
      <c r="O279" t="s">
        <v>49</v>
      </c>
      <c r="P279">
        <v>0.5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49</v>
      </c>
      <c r="X279" t="s">
        <v>49</v>
      </c>
      <c r="Y279" t="s">
        <v>49</v>
      </c>
      <c r="Z279" t="s">
        <v>49</v>
      </c>
      <c r="AA279" t="s">
        <v>49</v>
      </c>
      <c r="AB279" t="s">
        <v>49</v>
      </c>
      <c r="AC279" s="3">
        <v>0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  <c r="AK279" t="s">
        <v>49</v>
      </c>
      <c r="AL279" t="s">
        <v>49</v>
      </c>
      <c r="AM279" t="s">
        <v>49</v>
      </c>
      <c r="AN279" t="s">
        <v>49</v>
      </c>
      <c r="AO279" t="s">
        <v>49</v>
      </c>
      <c r="AP279" s="3">
        <v>0</v>
      </c>
      <c r="AQ279" t="s">
        <v>49</v>
      </c>
      <c r="AR279" t="s">
        <v>49</v>
      </c>
      <c r="AS279" t="s">
        <v>49</v>
      </c>
      <c r="AT279" t="s">
        <v>49</v>
      </c>
      <c r="AU279" s="5" t="s">
        <v>49</v>
      </c>
      <c r="AV279" t="s">
        <v>49</v>
      </c>
      <c r="AW279" t="s">
        <v>49</v>
      </c>
      <c r="AX279" t="s">
        <v>49</v>
      </c>
      <c r="AY279" t="s">
        <v>49</v>
      </c>
    </row>
    <row r="280" spans="1:51" ht="16.05" hidden="1" customHeight="1" x14ac:dyDescent="0.3">
      <c r="A280" s="2" t="s">
        <v>466</v>
      </c>
      <c r="B280" s="3" t="s">
        <v>467</v>
      </c>
      <c r="C280" s="7" t="s">
        <v>336</v>
      </c>
      <c r="D280" s="3" t="s">
        <v>101</v>
      </c>
      <c r="E280" s="3" t="s">
        <v>103</v>
      </c>
      <c r="F280" s="3" t="s">
        <v>94</v>
      </c>
      <c r="G280" s="5" t="s">
        <v>49</v>
      </c>
      <c r="H280" s="5" t="s">
        <v>49</v>
      </c>
      <c r="I280" s="6">
        <v>45560</v>
      </c>
      <c r="J280" t="s">
        <v>49</v>
      </c>
      <c r="K280" s="6">
        <v>46127</v>
      </c>
      <c r="L280" s="18">
        <v>46113</v>
      </c>
      <c r="M280" s="6">
        <f t="shared" si="8"/>
        <v>46128</v>
      </c>
      <c r="N280" t="s">
        <v>49</v>
      </c>
      <c r="O280" t="s">
        <v>49</v>
      </c>
      <c r="P280">
        <v>0.5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s="3">
        <v>0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  <c r="AK280" t="s">
        <v>49</v>
      </c>
      <c r="AL280" t="s">
        <v>49</v>
      </c>
      <c r="AM280" t="s">
        <v>49</v>
      </c>
      <c r="AN280" t="s">
        <v>49</v>
      </c>
      <c r="AO280" t="s">
        <v>49</v>
      </c>
      <c r="AP280" s="3">
        <v>0</v>
      </c>
      <c r="AQ280" t="s">
        <v>49</v>
      </c>
      <c r="AR280" t="s">
        <v>49</v>
      </c>
      <c r="AS280" t="s">
        <v>49</v>
      </c>
      <c r="AT280" t="s">
        <v>49</v>
      </c>
      <c r="AU280" s="5" t="s">
        <v>49</v>
      </c>
      <c r="AV280" t="s">
        <v>49</v>
      </c>
      <c r="AW280" t="s">
        <v>49</v>
      </c>
      <c r="AX280" t="s">
        <v>49</v>
      </c>
      <c r="AY280" t="s">
        <v>49</v>
      </c>
    </row>
    <row r="281" spans="1:51" ht="16.05" hidden="1" customHeight="1" x14ac:dyDescent="0.3">
      <c r="A281" s="2" t="s">
        <v>468</v>
      </c>
      <c r="B281" s="3" t="s">
        <v>460</v>
      </c>
      <c r="C281" s="7" t="s">
        <v>336</v>
      </c>
      <c r="D281" s="3" t="s">
        <v>55</v>
      </c>
      <c r="E281" s="3" t="s">
        <v>57</v>
      </c>
      <c r="F281" s="3" t="s">
        <v>94</v>
      </c>
      <c r="G281" s="8" t="s">
        <v>471</v>
      </c>
      <c r="H281" s="10" t="s">
        <v>133</v>
      </c>
      <c r="I281" s="6">
        <v>45670</v>
      </c>
      <c r="J281" s="3">
        <v>85000</v>
      </c>
      <c r="K281" s="6">
        <v>46127</v>
      </c>
      <c r="L281" s="18">
        <v>45931</v>
      </c>
      <c r="M281" s="6">
        <f t="shared" si="8"/>
        <v>45946.5</v>
      </c>
      <c r="N281" s="3" t="s">
        <v>440</v>
      </c>
      <c r="O281" s="3" t="s">
        <v>239</v>
      </c>
      <c r="P281">
        <v>0.5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4250</v>
      </c>
      <c r="AA281" s="3">
        <v>4250</v>
      </c>
      <c r="AB281" s="3">
        <v>0</v>
      </c>
      <c r="AC281" s="3">
        <v>8500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t="s">
        <v>49</v>
      </c>
      <c r="AR281" s="3">
        <v>4250</v>
      </c>
      <c r="AS281" t="s">
        <v>49</v>
      </c>
      <c r="AT281" t="s">
        <v>49</v>
      </c>
      <c r="AU281" s="5" t="s">
        <v>49</v>
      </c>
      <c r="AV281" t="s">
        <v>49</v>
      </c>
      <c r="AW281" t="s">
        <v>49</v>
      </c>
      <c r="AX281" t="s">
        <v>49</v>
      </c>
      <c r="AY281" t="s">
        <v>49</v>
      </c>
    </row>
    <row r="282" spans="1:51" ht="16.05" hidden="1" customHeight="1" x14ac:dyDescent="0.3">
      <c r="A282" s="2" t="s">
        <v>469</v>
      </c>
      <c r="B282" s="21" t="s">
        <v>490</v>
      </c>
      <c r="C282" s="7" t="s">
        <v>336</v>
      </c>
      <c r="D282" s="3" t="s">
        <v>55</v>
      </c>
      <c r="E282" s="3" t="s">
        <v>57</v>
      </c>
      <c r="F282" s="3" t="s">
        <v>94</v>
      </c>
      <c r="G282" s="8" t="s">
        <v>471</v>
      </c>
      <c r="H282" s="10" t="s">
        <v>133</v>
      </c>
      <c r="I282" s="6">
        <v>45889</v>
      </c>
      <c r="J282" t="s">
        <v>49</v>
      </c>
      <c r="K282" s="6">
        <v>46127</v>
      </c>
      <c r="L282" s="18">
        <v>45931</v>
      </c>
      <c r="M282" s="6">
        <f t="shared" si="8"/>
        <v>45946.5</v>
      </c>
      <c r="N282" t="s">
        <v>49</v>
      </c>
      <c r="O282" t="s">
        <v>49</v>
      </c>
      <c r="P282">
        <v>0.5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49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s="3">
        <v>0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  <c r="AL282" t="s">
        <v>49</v>
      </c>
      <c r="AM282" t="s">
        <v>49</v>
      </c>
      <c r="AN282" t="s">
        <v>49</v>
      </c>
      <c r="AO282" t="s">
        <v>49</v>
      </c>
      <c r="AP282" s="3">
        <v>0</v>
      </c>
      <c r="AQ282" t="s">
        <v>49</v>
      </c>
      <c r="AR282" t="s">
        <v>49</v>
      </c>
      <c r="AS282" t="s">
        <v>49</v>
      </c>
      <c r="AT282" t="s">
        <v>49</v>
      </c>
      <c r="AU282" s="5" t="s">
        <v>49</v>
      </c>
      <c r="AV282" t="s">
        <v>49</v>
      </c>
      <c r="AW282" t="s">
        <v>49</v>
      </c>
      <c r="AX282" t="s">
        <v>49</v>
      </c>
      <c r="AY282" t="s">
        <v>49</v>
      </c>
    </row>
    <row r="283" spans="1:51" ht="16.05" customHeight="1" x14ac:dyDescent="0.3"/>
  </sheetData>
  <autoFilter ref="A1:AY282" xr:uid="{00000000-0001-0000-0000-000000000000}">
    <filterColumn colId="2">
      <filters>
        <filter val="Negotiation"/>
        <filter val="Proposal"/>
        <filter val="Won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2026-04-17T04:48:06Z</dcterms:created>
  <dcterms:modified xsi:type="dcterms:W3CDTF">2026-04-27T04:35:35Z</dcterms:modified>
</cp:coreProperties>
</file>