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Repos\ReadyGo\uploads\"/>
    </mc:Choice>
  </mc:AlternateContent>
  <xr:revisionPtr revIDLastSave="0" documentId="13_ncr:1_{884DF782-1CA6-4587-9D68-F5F8C472021B}" xr6:coauthVersionLast="47" xr6:coauthVersionMax="47" xr10:uidLastSave="{00000000-0000-0000-0000-000000000000}"/>
  <bookViews>
    <workbookView xWindow="-28920" yWindow="-120" windowWidth="29040" windowHeight="15720" xr2:uid="{4C2A3FAA-68E7-4292-8E90-23EC27F02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9" i="1" l="1"/>
  <c r="D100" i="1"/>
  <c r="D101" i="1"/>
  <c r="D98" i="1"/>
  <c r="D97" i="1"/>
  <c r="D96" i="1"/>
  <c r="D91" i="1"/>
  <c r="D92" i="1"/>
  <c r="D93" i="1"/>
  <c r="D94" i="1"/>
  <c r="D90" i="1"/>
  <c r="D82" i="1"/>
  <c r="D83" i="1"/>
  <c r="D84" i="1"/>
  <c r="D85" i="1"/>
  <c r="D86" i="1"/>
  <c r="D87" i="1"/>
  <c r="D88" i="1"/>
  <c r="D81" i="1"/>
  <c r="D63" i="1"/>
  <c r="D64" i="1"/>
  <c r="D65" i="1"/>
  <c r="D66" i="1"/>
  <c r="D67" i="1"/>
  <c r="D68" i="1"/>
  <c r="D69" i="1"/>
  <c r="D70" i="1"/>
  <c r="D62" i="1"/>
  <c r="D49" i="1"/>
  <c r="D14" i="1"/>
  <c r="D7" i="1"/>
  <c r="D8" i="1"/>
  <c r="D9" i="1"/>
  <c r="D10" i="1"/>
  <c r="D11" i="1"/>
  <c r="D12" i="1"/>
  <c r="D6" i="1"/>
</calcChain>
</file>

<file path=xl/sharedStrings.xml><?xml version="1.0" encoding="utf-8"?>
<sst xmlns="http://schemas.openxmlformats.org/spreadsheetml/2006/main" count="591" uniqueCount="252">
  <si>
    <t>Accelerant - WS Audiology</t>
  </si>
  <si>
    <t>Accelerant Ltd</t>
  </si>
  <si>
    <t>Adairs - Planning RFP</t>
  </si>
  <si>
    <t>Adairs</t>
  </si>
  <si>
    <t>Adairs - Ready Phase</t>
  </si>
  <si>
    <t>Alen Air Purifier</t>
  </si>
  <si>
    <t>Alen</t>
  </si>
  <si>
    <t>Annual Event(s)</t>
  </si>
  <si>
    <t>Ready</t>
  </si>
  <si>
    <t>AU Bench</t>
  </si>
  <si>
    <t>AU Global - Certifications/Training</t>
  </si>
  <si>
    <t>AU Global Operations</t>
  </si>
  <si>
    <t>AU Internal</t>
  </si>
  <si>
    <t>AU National Holiday</t>
  </si>
  <si>
    <t>AU PTO</t>
  </si>
  <si>
    <t>AusPost (BI) - Presales</t>
  </si>
  <si>
    <t>AU Training</t>
  </si>
  <si>
    <t>Beauty Network - Pre-Sales</t>
  </si>
  <si>
    <t>Beauty Network</t>
  </si>
  <si>
    <t>Big C - Assortment Planning &amp; Space Range and Display</t>
  </si>
  <si>
    <t>BJC PCL</t>
  </si>
  <si>
    <t>Big C - Customer and Data Consolidation</t>
  </si>
  <si>
    <t>Big C - Doppio</t>
  </si>
  <si>
    <t>Big C - EA Audit</t>
  </si>
  <si>
    <t>Big C - EA Audit [PreSales]</t>
  </si>
  <si>
    <t>Big C - ERP Lift &amp; Shift</t>
  </si>
  <si>
    <t>Big C - Forecasting &amp; Replenishment</t>
  </si>
  <si>
    <t>Big C - Pricing and Promotion</t>
  </si>
  <si>
    <t>Big C - Program Management - 2025</t>
  </si>
  <si>
    <t>Big C - Program Management - 2026</t>
  </si>
  <si>
    <t>Big C - Relex</t>
  </si>
  <si>
    <t>Relex</t>
  </si>
  <si>
    <t>Big C - Supplier Portal Phase 1</t>
  </si>
  <si>
    <t>Big C - Supplier Portal Phase 2</t>
  </si>
  <si>
    <t>Blue Yonder x RRHI (Robinsons Retail Holdings Inc)</t>
  </si>
  <si>
    <t>Blue Yonder</t>
  </si>
  <si>
    <t>BPO Service</t>
  </si>
  <si>
    <t>Greiman Construction Services LLC</t>
  </si>
  <si>
    <t>Build Integration</t>
  </si>
  <si>
    <t>Coles - Atlantis Programme</t>
  </si>
  <si>
    <t>Coles Supermarket</t>
  </si>
  <si>
    <t>Coles Liquor - Apollo Programme Manager</t>
  </si>
  <si>
    <t>Coles Liquor</t>
  </si>
  <si>
    <t>Coles Liquor - Project Management</t>
  </si>
  <si>
    <t>CPAxtra - Project Recovery</t>
  </si>
  <si>
    <t>CPAxtra - Makro</t>
  </si>
  <si>
    <t>ERP Assessment</t>
  </si>
  <si>
    <t>Oxford Industries</t>
  </si>
  <si>
    <t>Fracture - Fractional CTO</t>
  </si>
  <si>
    <t>Fracture</t>
  </si>
  <si>
    <t>Fracture UX Contract</t>
  </si>
  <si>
    <t>Global Accounting and Finance</t>
  </si>
  <si>
    <t>GMS - Program and Change Management</t>
  </si>
  <si>
    <t>SRS Distribution Inc.</t>
  </si>
  <si>
    <t>GPC - Digital Transformation Support</t>
  </si>
  <si>
    <t>GPC</t>
  </si>
  <si>
    <t>GPC - PM Special Project</t>
  </si>
  <si>
    <t>Home Steaders - Love Always</t>
  </si>
  <si>
    <t>Love Always</t>
  </si>
  <si>
    <t>Home Steaders - Love Always - Financial Advisory</t>
  </si>
  <si>
    <t>Home Steaders - Love Always Phase 3</t>
  </si>
  <si>
    <t>Home Steaders - Love Always Phase 4</t>
  </si>
  <si>
    <t>Home Steaders - Love Always - System Eval</t>
  </si>
  <si>
    <t>IMT Transport - Presales</t>
  </si>
  <si>
    <t>IMT</t>
  </si>
  <si>
    <t>Internal</t>
  </si>
  <si>
    <t>Johnny Was - Strategy</t>
  </si>
  <si>
    <t>Johnny Was</t>
  </si>
  <si>
    <t>Lilly Pulitzer</t>
  </si>
  <si>
    <t>Lilly Pulitzer - ERP Implementation Advisory</t>
  </si>
  <si>
    <t>Lilly Pulitzer - MFP</t>
  </si>
  <si>
    <t>Lovisa - Business Analysis</t>
  </si>
  <si>
    <t>Lovisa</t>
  </si>
  <si>
    <t>Lovisa - Data Engineer</t>
  </si>
  <si>
    <t>Lovisa - Delivery Manager</t>
  </si>
  <si>
    <t>MartinPatrick3 - Transformation Advisory</t>
  </si>
  <si>
    <t>MartinPatrick3 Inc.</t>
  </si>
  <si>
    <t>McMillan Engineering Group (MEG) - Digital</t>
  </si>
  <si>
    <t>McMillan Engineering Group (MEG)</t>
  </si>
  <si>
    <t>Myer - Marketplace Replatform</t>
  </si>
  <si>
    <t>Myer Pty Ltd.</t>
  </si>
  <si>
    <t>Oxford Advisory Retainer #1</t>
  </si>
  <si>
    <t>Oxford - Data Project Contract Part 1 &amp; 2</t>
  </si>
  <si>
    <t>Oxford Industries - Lilly Pulitzer ERP RFP</t>
  </si>
  <si>
    <t>PH Bench</t>
  </si>
  <si>
    <t>PH Business Devt Activities</t>
  </si>
  <si>
    <t>PH Global - Certifications/Training</t>
  </si>
  <si>
    <t>PH Global Operations</t>
  </si>
  <si>
    <t>PH Intercompany Non Billable Hrs</t>
  </si>
  <si>
    <t>PH Internal</t>
  </si>
  <si>
    <t>PH Leaves</t>
  </si>
  <si>
    <t>PH National Holiday</t>
  </si>
  <si>
    <t>PH PTO</t>
  </si>
  <si>
    <t>Planning RFP Extension #1</t>
  </si>
  <si>
    <t>Platform Roadmap Advisory</t>
  </si>
  <si>
    <t>RFID RFP</t>
  </si>
  <si>
    <t>RFP Advisory</t>
  </si>
  <si>
    <t>Right Roofing &amp; Siding Inc. - CRM</t>
  </si>
  <si>
    <t>Right Roofing &amp; Siding Inc.</t>
  </si>
  <si>
    <t>Sigma Healthcare - Customer Profile - Architecture / Business Analysis / Engagement</t>
  </si>
  <si>
    <t>Sigma</t>
  </si>
  <si>
    <t>SRS Distribution - GMS Consolidation</t>
  </si>
  <si>
    <t>SRS/GMS - Project Planning Copy</t>
  </si>
  <si>
    <t>SRS Infrastructure Assessment &amp; Advisory</t>
  </si>
  <si>
    <t>SRS M&amp;A</t>
  </si>
  <si>
    <t>TH Bench</t>
  </si>
  <si>
    <t>TH Global - Certifications/Training</t>
  </si>
  <si>
    <t>TH Global Operations</t>
  </si>
  <si>
    <t>TH Intercompany Non Billable Hrs</t>
  </si>
  <si>
    <t>TH Internal Project</t>
  </si>
  <si>
    <t>TH National Holiday</t>
  </si>
  <si>
    <t>TH PTO</t>
  </si>
  <si>
    <t>TH Training</t>
  </si>
  <si>
    <t>UACL - Presale</t>
  </si>
  <si>
    <t>UACL</t>
  </si>
  <si>
    <t>US Internal</t>
  </si>
  <si>
    <t>US Internal Projects</t>
  </si>
  <si>
    <t>US National Holiday</t>
  </si>
  <si>
    <t>US PTO</t>
  </si>
  <si>
    <t>US Training</t>
  </si>
  <si>
    <t>Wipro Stock Ledger</t>
  </si>
  <si>
    <t>Best Buy (Contract)</t>
  </si>
  <si>
    <t>AusPost</t>
  </si>
  <si>
    <t>Replicon Project</t>
  </si>
  <si>
    <t>Replicon Client</t>
  </si>
  <si>
    <t>Cortex Opportunity</t>
  </si>
  <si>
    <t>Cortex Account</t>
  </si>
  <si>
    <t>Cortex Engagement</t>
  </si>
  <si>
    <t>Engagement - Accelerant - WS Audiology</t>
  </si>
  <si>
    <t>Accelerant</t>
  </si>
  <si>
    <t>Engagement - Adairs Planning RFP</t>
  </si>
  <si>
    <t>Engagement - Alen Air purifier</t>
  </si>
  <si>
    <t>Adairs Planning RFP</t>
  </si>
  <si>
    <t>Alen Air purifier</t>
  </si>
  <si>
    <t>AusPost (BI)</t>
  </si>
  <si>
    <t>Big C - Assortment &amp; Space Range</t>
  </si>
  <si>
    <t>Big C EA Audit</t>
  </si>
  <si>
    <t>Engagement - Big C EA Audit</t>
  </si>
  <si>
    <t>Big C ERP Lift &amp; Shift</t>
  </si>
  <si>
    <t>Big C Program Management</t>
  </si>
  <si>
    <t>Engagement - Big C Program Management</t>
  </si>
  <si>
    <t>Big C Program Management - 2026</t>
  </si>
  <si>
    <t>The Beauty Network</t>
  </si>
  <si>
    <t>Australia Post</t>
  </si>
  <si>
    <t>RELEX</t>
  </si>
  <si>
    <t>Big C Supplier Portal Phase 1</t>
  </si>
  <si>
    <t>Engagement - Big C Supplier Portal Phase 1</t>
  </si>
  <si>
    <t>Big C Supplier Portal Phase 2</t>
  </si>
  <si>
    <t>Engagement - Blue Yonder x RRHI (Robinsons Retail Holdings Inc)</t>
  </si>
  <si>
    <t>Greiman Construction BPO</t>
  </si>
  <si>
    <t>Engagement - Greiman Construction BPO</t>
  </si>
  <si>
    <t>Greiman Construction</t>
  </si>
  <si>
    <t>Greiman Construction Monday.com</t>
  </si>
  <si>
    <t>Engagement - Greiman Construction Monday.com</t>
  </si>
  <si>
    <t>Coles - Atlantis Programme Int'l Replenishment</t>
  </si>
  <si>
    <t>Engagement - Coles - Atlantis Programme Int'l Replenishment</t>
  </si>
  <si>
    <t>Coles</t>
  </si>
  <si>
    <t>Coles Liquor - Programme Mgmt (Clint)
Coles Liquor - Tech PM (Don)
Coles Liquor - Tech PM (Humera)
Coles Liquor - Tech PM ext - (Humera March - Nov 2025)
Coles Liquor - Tech PM ext - (Humera Nov 2025 - Feb 2026)
Coles Liquor Digital (Elliot)
Coles Liquor Digital extension (Elliot)
Coles Liquor Programme Management ext (Clint)
Coles Liquor Programme Management extension (Clint)
Coles Liquor ext - Clint (Jun - Nov 2025)
Coles Liquor ext - Clint (Nov 2025 - Jun 2026)
Coles Liquor ext - Don (Feb 26 - Jul 26)
Coles Liquor ext - Elliot (Jun - Nov 2025)
Coles Liquor ext - Elliot (Nov 2025 - Jun 2026)
Coles Liquor ext - Tech PM (Don) (Nov 2025 - Feb 2026</t>
  </si>
  <si>
    <t>Engagement - Coles Liquor - Programme Mgmt (Clint)
Engagement - Coles Liquor - Tech PM (Don)
Engagement - Coles Liquor - Tech PM (Humera)
Engagement - Coles Liquor - Tech PM ext - (Humera March - Nov 2025)
Engagement - Coles Liquor - Tech PM ext - (Humera Nov 2025 - Feb 2026)
Engagement - Coles Liquor Digital (Elliot)
Engagement - Coles Liquor Digital extension (Elliot)
Engagement - Coles Liquor Programme Management ext (Clint)
Engagement - Coles Liquor Programme Management extension (Clint)
Engagement - Coles Liquor ext - Clint (Jun - Nov 2025)
Engagement - Coles Liquor ext - Clint (Nov 2025 - Jun 2026)
Engagement - Coles Liquor ext - Don (Feb 26 - Jul 26)
Engagement - Coles Liquor ext - Elliot (Jun - Nov 2025)
Engagement - Coles Liquor ext - Elliot (Nov 2025 - Jun 2026)
Engagement - Coles Liquor ext - Tech PM (Don) (Nov 2025 - Feb 2026</t>
  </si>
  <si>
    <t>CPAxtra</t>
  </si>
  <si>
    <t>Lilly Pulitzer &amp; Oxford Brands - ERP Discovery</t>
  </si>
  <si>
    <t>Engagement - Lilly Pulitzer &amp; Oxford Brands - ERP Discovery</t>
  </si>
  <si>
    <t>Engagement - Fracture - Fractional CTO</t>
  </si>
  <si>
    <t>Engagement - Fracture UX Contract</t>
  </si>
  <si>
    <t>Engagement - GMS - Program and Change Management</t>
  </si>
  <si>
    <t>SRS Distribution</t>
  </si>
  <si>
    <t>Engagement - GPC - Digital Transformation Support</t>
  </si>
  <si>
    <t>Engagement - GPC - PM Special Project</t>
  </si>
  <si>
    <t>Homesteaders</t>
  </si>
  <si>
    <t>LAP - Finance SME</t>
  </si>
  <si>
    <t>Engagement - LAP - Finance SME</t>
  </si>
  <si>
    <t>Love Always SOW#4 Support</t>
  </si>
  <si>
    <t>Engagement - Love Always SOW#4 Support</t>
  </si>
  <si>
    <t>Engagement - Home Steaders - Love Always - System Eval</t>
  </si>
  <si>
    <t>Home Steaders - Love Always Phase 1
Home Steaders - Love Always Phase 2</t>
  </si>
  <si>
    <t>Engagement - Home Steaders - Love Always Phase 1
Engagement - Home Steaders - Love Always Phase 2</t>
  </si>
  <si>
    <t>Home Steaders - Love Always - Phase 3
Love Always SOW#3 - addendum</t>
  </si>
  <si>
    <t>Engagement - Home Steaders - Love Always - Phase 3
Engagement - Love Always SOW#3 - addendum</t>
  </si>
  <si>
    <t>IMT- IT Modernization</t>
  </si>
  <si>
    <t>Johnny Was Strategy</t>
  </si>
  <si>
    <t>Engagement - Johnny Was Strategy</t>
  </si>
  <si>
    <t>Oxford</t>
  </si>
  <si>
    <t>Lilly Pulitzer - ERP Implementation (staff aug)</t>
  </si>
  <si>
    <t>Sales</t>
  </si>
  <si>
    <t>Lilly Pulitzer - MFP Implementation</t>
  </si>
  <si>
    <t>Engagement - Lilly Pulitzer - MFP Implementation</t>
  </si>
  <si>
    <t>Lovisa - Business Analysis
Lovisa - Business Analysis Extension</t>
  </si>
  <si>
    <t>Engagement - Lovisa - Business Analysis
Engagement - Lovisa - Business Analysis Extension</t>
  </si>
  <si>
    <t>Engagement - Lovisa - Data Engineer</t>
  </si>
  <si>
    <t>Lovisa Delivery Lead</t>
  </si>
  <si>
    <t>Engagement - Lovisa Delivery Lead</t>
  </si>
  <si>
    <t>Engagement - MartinPatrick3 - Transformation Advisory</t>
  </si>
  <si>
    <t>MartinPatrick3</t>
  </si>
  <si>
    <t>Engagement - McMillan Engineering Group (MEG) - Digital</t>
  </si>
  <si>
    <t>McMillan Engineering Group</t>
  </si>
  <si>
    <t>Engagement - Myer - Marketplace Replatform</t>
  </si>
  <si>
    <t>Myer</t>
  </si>
  <si>
    <t>Oxford Advisory - Retainer</t>
  </si>
  <si>
    <t>Engagement - Oxford Advisory - Retainer</t>
  </si>
  <si>
    <t>Oxford - Data Project Contract Part 1</t>
  </si>
  <si>
    <t>Engagement - Oxford - Data Project Contract Part 1</t>
  </si>
  <si>
    <t>Oxford - ERP RFP</t>
  </si>
  <si>
    <t>Engagement - Oxford - ERP RFP</t>
  </si>
  <si>
    <t>Lilly Pulitzer - Planning RFP Extension #1
Lilly Pulitzer - Planning RFP Extension #1 - Add1</t>
  </si>
  <si>
    <t>Engagement - Lilly Pulitzer - Planning RFP Extension #1
Engagement - Lilly Pulitzer - Planning RFP Extension #1 - Add1</t>
  </si>
  <si>
    <t>Fracture - Platform Strategic Advisory</t>
  </si>
  <si>
    <t>Engagement - Fracture - Platform Strategic Advisory</t>
  </si>
  <si>
    <t>Lovisa RFID Advisory</t>
  </si>
  <si>
    <t>Engagement - Lovisa RFID Advisory</t>
  </si>
  <si>
    <t>Lovisa - RFP Advisory</t>
  </si>
  <si>
    <t>Engagement - Lovisa - RFP Advisory</t>
  </si>
  <si>
    <t>Sigma Patient Framework</t>
  </si>
  <si>
    <t>Engagement - Sigma Patient Framework</t>
  </si>
  <si>
    <t>SRS Distribution - GMS consolidation</t>
  </si>
  <si>
    <t>Engagement - SRS Distribution - GMS consolidation</t>
  </si>
  <si>
    <t>SRS/GMS - Project Planning</t>
  </si>
  <si>
    <t>Engagement - SRS/GMS - Project Planning</t>
  </si>
  <si>
    <t>Engagement - SRS Infrastructure Assessment &amp; Advisory</t>
  </si>
  <si>
    <t>Engagement - SRS M&amp;A</t>
  </si>
  <si>
    <t>UACL - TMS RFP Advisory and Process Mapping</t>
  </si>
  <si>
    <t>Best Buy - Wipro Strategy (SL)
Best Buy - Wipro Strategy (SL) - ext</t>
  </si>
  <si>
    <t>Engagement - Best Buy - Wipro Strategy (SL)
Engagement - Best Buy - Wipro Strategy (SL) - ext</t>
  </si>
  <si>
    <t>Best Buy</t>
  </si>
  <si>
    <t>Coles Liquor - Apollo Programme Manager (Matt)
Apollo Phase 2 Merchandise &amp; Finance Programme
Apollo Programme Manager - extension</t>
  </si>
  <si>
    <t>Engagement - Coles Liquor - Apollo Programme Manager (Matt)
Engagement - Apollo Phase 2 Merchandise &amp; Finance Programme
Engagement - Apollo Programme Manager - extension</t>
  </si>
  <si>
    <t>Engagement</t>
  </si>
  <si>
    <t>Cortex Phase</t>
  </si>
  <si>
    <t>Cortex Type</t>
  </si>
  <si>
    <t>North America</t>
  </si>
  <si>
    <t>Training &amp; Certifications</t>
  </si>
  <si>
    <t>PTO</t>
  </si>
  <si>
    <t>Research &amp; Development</t>
  </si>
  <si>
    <t>Intercompany Collaboration</t>
  </si>
  <si>
    <t>Operations</t>
  </si>
  <si>
    <t>Bench</t>
  </si>
  <si>
    <t>Business Development</t>
  </si>
  <si>
    <t>Annual Event</t>
  </si>
  <si>
    <t>Holiday</t>
  </si>
  <si>
    <t>READY</t>
  </si>
  <si>
    <t>Thailand</t>
  </si>
  <si>
    <t>Philippines</t>
  </si>
  <si>
    <t>Australia</t>
  </si>
  <si>
    <t>Right Roofing Phase 1</t>
  </si>
  <si>
    <t>Engagement - Right Roofing Phase 1</t>
  </si>
  <si>
    <t>Right Roofing</t>
  </si>
  <si>
    <t>Engagement - Lilly Pulitzer - ERP Implementation (staff aug)</t>
  </si>
  <si>
    <t>PH Training - Arch</t>
  </si>
  <si>
    <t>AU PTO - Arch</t>
  </si>
  <si>
    <t>US PTO - Arch</t>
  </si>
  <si>
    <t>US Training - Ach</t>
  </si>
  <si>
    <t>US Bench _ Arch</t>
  </si>
  <si>
    <t>US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</si>
</sst>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748B-2ADD-42E6-BB3D-0F02ECC523B7}">
  <dimension ref="A1:G101"/>
  <sheetViews>
    <sheetView tabSelected="1" topLeftCell="A85" zoomScale="85" zoomScaleNormal="85" workbookViewId="0">
      <selection activeCell="B99" sqref="B99"/>
    </sheetView>
  </sheetViews>
  <sheetFormatPr defaultRowHeight="14.4" x14ac:dyDescent="0.3"/>
  <cols>
    <col min="1" max="1" width="74.5546875" bestFit="1" customWidth="1"/>
    <col min="2" max="2" width="31.21875" bestFit="1" customWidth="1"/>
    <col min="3" max="3" width="51" bestFit="1" customWidth="1"/>
    <col min="4" max="4" width="63.33203125" bestFit="1" customWidth="1"/>
    <col min="5" max="6" width="25.5546875" bestFit="1" customWidth="1"/>
    <col min="7" max="7" width="11.33203125" customWidth="1"/>
  </cols>
  <sheetData>
    <row r="1" spans="1:7" x14ac:dyDescent="0.3">
      <c r="A1" t="s">
        <v>123</v>
      </c>
      <c r="B1" t="s">
        <v>124</v>
      </c>
      <c r="C1" t="s">
        <v>125</v>
      </c>
      <c r="D1" t="s">
        <v>127</v>
      </c>
      <c r="E1" t="s">
        <v>226</v>
      </c>
      <c r="F1" t="s">
        <v>126</v>
      </c>
      <c r="G1" t="s">
        <v>227</v>
      </c>
    </row>
    <row r="2" spans="1:7" x14ac:dyDescent="0.3">
      <c r="A2" t="s">
        <v>0</v>
      </c>
      <c r="B2" s="1" t="s">
        <v>1</v>
      </c>
      <c r="C2" t="s">
        <v>0</v>
      </c>
      <c r="D2" s="2" t="s">
        <v>128</v>
      </c>
      <c r="E2" s="2"/>
      <c r="F2" t="s">
        <v>129</v>
      </c>
      <c r="G2" t="s">
        <v>225</v>
      </c>
    </row>
    <row r="3" spans="1:7" x14ac:dyDescent="0.3">
      <c r="A3" t="s">
        <v>2</v>
      </c>
      <c r="B3" s="1" t="s">
        <v>3</v>
      </c>
      <c r="C3" t="s">
        <v>132</v>
      </c>
      <c r="D3" s="2" t="s">
        <v>130</v>
      </c>
      <c r="E3" s="2"/>
      <c r="F3" t="s">
        <v>3</v>
      </c>
      <c r="G3" t="s">
        <v>225</v>
      </c>
    </row>
    <row r="4" spans="1:7" x14ac:dyDescent="0.3">
      <c r="A4" t="s">
        <v>4</v>
      </c>
      <c r="B4" s="1" t="s">
        <v>3</v>
      </c>
      <c r="C4" t="s">
        <v>132</v>
      </c>
      <c r="D4" s="2" t="s">
        <v>130</v>
      </c>
      <c r="E4" s="2"/>
      <c r="F4" t="s">
        <v>3</v>
      </c>
      <c r="G4" t="s">
        <v>225</v>
      </c>
    </row>
    <row r="5" spans="1:7" x14ac:dyDescent="0.3">
      <c r="A5" t="s">
        <v>5</v>
      </c>
      <c r="B5" s="1" t="s">
        <v>6</v>
      </c>
      <c r="C5" t="s">
        <v>133</v>
      </c>
      <c r="D5" s="2" t="s">
        <v>131</v>
      </c>
      <c r="E5" s="2"/>
      <c r="F5" t="s">
        <v>6</v>
      </c>
      <c r="G5" t="s">
        <v>225</v>
      </c>
    </row>
    <row r="6" spans="1:7" x14ac:dyDescent="0.3">
      <c r="A6" t="s">
        <v>7</v>
      </c>
      <c r="B6" s="1" t="s">
        <v>8</v>
      </c>
      <c r="C6" s="2" t="s">
        <v>228</v>
      </c>
      <c r="D6" t="str">
        <f>_xlfn.CONCAT("Engagement - ", C6)</f>
        <v>Engagement - North America</v>
      </c>
      <c r="E6" s="2" t="s">
        <v>236</v>
      </c>
      <c r="F6" t="s">
        <v>238</v>
      </c>
      <c r="G6" t="s">
        <v>225</v>
      </c>
    </row>
    <row r="7" spans="1:7" x14ac:dyDescent="0.3">
      <c r="A7" t="s">
        <v>9</v>
      </c>
      <c r="B7" s="1" t="s">
        <v>8</v>
      </c>
      <c r="C7" s="2" t="s">
        <v>241</v>
      </c>
      <c r="D7" t="str">
        <f t="shared" ref="D7:D14" si="0">_xlfn.CONCAT("Engagement - ", C7)</f>
        <v>Engagement - Australia</v>
      </c>
      <c r="E7" s="2" t="s">
        <v>234</v>
      </c>
      <c r="F7" t="s">
        <v>238</v>
      </c>
      <c r="G7" t="s">
        <v>225</v>
      </c>
    </row>
    <row r="8" spans="1:7" x14ac:dyDescent="0.3">
      <c r="A8" t="s">
        <v>10</v>
      </c>
      <c r="B8" s="1" t="s">
        <v>8</v>
      </c>
      <c r="C8" s="2" t="s">
        <v>241</v>
      </c>
      <c r="D8" t="str">
        <f t="shared" si="0"/>
        <v>Engagement - Australia</v>
      </c>
      <c r="E8" s="2" t="s">
        <v>229</v>
      </c>
      <c r="F8" t="s">
        <v>238</v>
      </c>
      <c r="G8" t="s">
        <v>225</v>
      </c>
    </row>
    <row r="9" spans="1:7" x14ac:dyDescent="0.3">
      <c r="A9" t="s">
        <v>11</v>
      </c>
      <c r="B9" s="1" t="s">
        <v>8</v>
      </c>
      <c r="C9" s="2" t="s">
        <v>241</v>
      </c>
      <c r="D9" t="str">
        <f t="shared" si="0"/>
        <v>Engagement - Australia</v>
      </c>
      <c r="E9" s="2" t="s">
        <v>233</v>
      </c>
      <c r="F9" t="s">
        <v>238</v>
      </c>
      <c r="G9" t="s">
        <v>225</v>
      </c>
    </row>
    <row r="10" spans="1:7" x14ac:dyDescent="0.3">
      <c r="A10" t="s">
        <v>12</v>
      </c>
      <c r="B10" s="1" t="s">
        <v>8</v>
      </c>
      <c r="C10" s="2" t="s">
        <v>241</v>
      </c>
      <c r="D10" t="str">
        <f t="shared" si="0"/>
        <v>Engagement - Australia</v>
      </c>
      <c r="E10" s="2" t="s">
        <v>65</v>
      </c>
      <c r="F10" t="s">
        <v>238</v>
      </c>
      <c r="G10" t="s">
        <v>225</v>
      </c>
    </row>
    <row r="11" spans="1:7" x14ac:dyDescent="0.3">
      <c r="A11" t="s">
        <v>13</v>
      </c>
      <c r="B11" s="1" t="s">
        <v>8</v>
      </c>
      <c r="C11" s="2" t="s">
        <v>241</v>
      </c>
      <c r="D11" t="str">
        <f t="shared" si="0"/>
        <v>Engagement - Australia</v>
      </c>
      <c r="E11" s="9" t="s">
        <v>230</v>
      </c>
      <c r="F11" t="s">
        <v>238</v>
      </c>
      <c r="G11" s="6" t="s">
        <v>237</v>
      </c>
    </row>
    <row r="12" spans="1:7" x14ac:dyDescent="0.3">
      <c r="A12" t="s">
        <v>14</v>
      </c>
      <c r="B12" s="1" t="s">
        <v>8</v>
      </c>
      <c r="C12" s="2" t="s">
        <v>241</v>
      </c>
      <c r="D12" t="str">
        <f t="shared" si="0"/>
        <v>Engagement - Australia</v>
      </c>
      <c r="E12" s="2" t="s">
        <v>230</v>
      </c>
      <c r="F12" t="s">
        <v>238</v>
      </c>
      <c r="G12" t="s">
        <v>225</v>
      </c>
    </row>
    <row r="13" spans="1:7" x14ac:dyDescent="0.3">
      <c r="A13" t="s">
        <v>15</v>
      </c>
      <c r="B13" t="s">
        <v>122</v>
      </c>
      <c r="C13" t="s">
        <v>134</v>
      </c>
      <c r="D13" s="7"/>
      <c r="E13" s="7"/>
      <c r="F13" t="s">
        <v>143</v>
      </c>
      <c r="G13" t="s">
        <v>183</v>
      </c>
    </row>
    <row r="14" spans="1:7" x14ac:dyDescent="0.3">
      <c r="A14" t="s">
        <v>16</v>
      </c>
      <c r="B14" s="1" t="s">
        <v>8</v>
      </c>
      <c r="C14" s="2" t="s">
        <v>241</v>
      </c>
      <c r="D14" t="str">
        <f t="shared" si="0"/>
        <v>Engagement - Australia</v>
      </c>
      <c r="E14" s="2" t="s">
        <v>229</v>
      </c>
      <c r="F14" t="s">
        <v>238</v>
      </c>
      <c r="G14" t="s">
        <v>225</v>
      </c>
    </row>
    <row r="15" spans="1:7" x14ac:dyDescent="0.3">
      <c r="A15" t="s">
        <v>17</v>
      </c>
      <c r="B15" s="1" t="s">
        <v>18</v>
      </c>
      <c r="C15" t="s">
        <v>18</v>
      </c>
      <c r="D15" s="7"/>
      <c r="E15" s="7"/>
      <c r="F15" t="s">
        <v>142</v>
      </c>
      <c r="G15" t="s">
        <v>183</v>
      </c>
    </row>
    <row r="16" spans="1:7" x14ac:dyDescent="0.3">
      <c r="A16" t="s">
        <v>19</v>
      </c>
      <c r="B16" s="1" t="s">
        <v>20</v>
      </c>
      <c r="C16" t="s">
        <v>135</v>
      </c>
      <c r="D16" s="4"/>
      <c r="E16" s="4"/>
      <c r="F16" t="s">
        <v>20</v>
      </c>
      <c r="G16" t="s">
        <v>225</v>
      </c>
    </row>
    <row r="17" spans="1:7" x14ac:dyDescent="0.3">
      <c r="A17" t="s">
        <v>21</v>
      </c>
      <c r="B17" s="1" t="s">
        <v>20</v>
      </c>
      <c r="C17" t="s">
        <v>21</v>
      </c>
      <c r="D17" s="4"/>
      <c r="E17" s="4"/>
      <c r="F17" t="s">
        <v>20</v>
      </c>
      <c r="G17" t="s">
        <v>225</v>
      </c>
    </row>
    <row r="18" spans="1:7" x14ac:dyDescent="0.3">
      <c r="A18" t="s">
        <v>22</v>
      </c>
      <c r="B18" s="1" t="s">
        <v>8</v>
      </c>
      <c r="C18" s="2" t="s">
        <v>239</v>
      </c>
      <c r="D18" s="4"/>
      <c r="E18" s="4"/>
      <c r="F18" t="s">
        <v>20</v>
      </c>
      <c r="G18" t="s">
        <v>225</v>
      </c>
    </row>
    <row r="19" spans="1:7" x14ac:dyDescent="0.3">
      <c r="A19" t="s">
        <v>23</v>
      </c>
      <c r="B19" s="1" t="s">
        <v>20</v>
      </c>
      <c r="C19" t="s">
        <v>136</v>
      </c>
      <c r="D19" t="s">
        <v>137</v>
      </c>
      <c r="F19" t="s">
        <v>20</v>
      </c>
      <c r="G19" t="s">
        <v>225</v>
      </c>
    </row>
    <row r="20" spans="1:7" x14ac:dyDescent="0.3">
      <c r="A20" t="s">
        <v>24</v>
      </c>
      <c r="B20" s="1" t="s">
        <v>20</v>
      </c>
      <c r="C20" t="s">
        <v>136</v>
      </c>
      <c r="D20" t="s">
        <v>137</v>
      </c>
      <c r="F20" t="s">
        <v>20</v>
      </c>
      <c r="G20" t="s">
        <v>225</v>
      </c>
    </row>
    <row r="21" spans="1:7" x14ac:dyDescent="0.3">
      <c r="A21" t="s">
        <v>25</v>
      </c>
      <c r="B21" s="1" t="s">
        <v>20</v>
      </c>
      <c r="C21" t="s">
        <v>138</v>
      </c>
      <c r="D21" s="4"/>
      <c r="E21" s="4"/>
      <c r="F21" t="s">
        <v>20</v>
      </c>
      <c r="G21" t="s">
        <v>225</v>
      </c>
    </row>
    <row r="22" spans="1:7" x14ac:dyDescent="0.3">
      <c r="A22" t="s">
        <v>26</v>
      </c>
      <c r="B22" s="1" t="s">
        <v>20</v>
      </c>
      <c r="C22" t="s">
        <v>26</v>
      </c>
      <c r="D22" s="4"/>
      <c r="E22" s="4"/>
      <c r="F22" t="s">
        <v>20</v>
      </c>
      <c r="G22" t="s">
        <v>225</v>
      </c>
    </row>
    <row r="23" spans="1:7" x14ac:dyDescent="0.3">
      <c r="A23" t="s">
        <v>27</v>
      </c>
      <c r="B23" s="1" t="s">
        <v>20</v>
      </c>
      <c r="C23" t="s">
        <v>27</v>
      </c>
      <c r="D23" s="4"/>
      <c r="E23" s="4"/>
      <c r="F23" t="s">
        <v>20</v>
      </c>
      <c r="G23" t="s">
        <v>225</v>
      </c>
    </row>
    <row r="24" spans="1:7" x14ac:dyDescent="0.3">
      <c r="A24" t="s">
        <v>28</v>
      </c>
      <c r="B24" s="1" t="s">
        <v>20</v>
      </c>
      <c r="C24" t="s">
        <v>139</v>
      </c>
      <c r="D24" t="s">
        <v>140</v>
      </c>
      <c r="F24" t="s">
        <v>20</v>
      </c>
      <c r="G24" t="s">
        <v>225</v>
      </c>
    </row>
    <row r="25" spans="1:7" x14ac:dyDescent="0.3">
      <c r="A25" t="s">
        <v>29</v>
      </c>
      <c r="B25" s="1" t="s">
        <v>20</v>
      </c>
      <c r="C25" t="s">
        <v>141</v>
      </c>
      <c r="D25" s="4"/>
      <c r="E25" s="4"/>
      <c r="F25" t="s">
        <v>20</v>
      </c>
      <c r="G25" t="s">
        <v>225</v>
      </c>
    </row>
    <row r="26" spans="1:7" x14ac:dyDescent="0.3">
      <c r="A26" t="s">
        <v>30</v>
      </c>
      <c r="B26" s="1" t="s">
        <v>31</v>
      </c>
      <c r="C26" s="2" t="s">
        <v>30</v>
      </c>
      <c r="D26" s="4"/>
      <c r="E26" s="4"/>
      <c r="F26" t="s">
        <v>144</v>
      </c>
      <c r="G26" t="s">
        <v>225</v>
      </c>
    </row>
    <row r="27" spans="1:7" x14ac:dyDescent="0.3">
      <c r="A27" t="s">
        <v>32</v>
      </c>
      <c r="B27" s="1" t="s">
        <v>20</v>
      </c>
      <c r="C27" t="s">
        <v>145</v>
      </c>
      <c r="D27" t="s">
        <v>146</v>
      </c>
      <c r="F27" t="s">
        <v>20</v>
      </c>
      <c r="G27" t="s">
        <v>225</v>
      </c>
    </row>
    <row r="28" spans="1:7" x14ac:dyDescent="0.3">
      <c r="A28" t="s">
        <v>33</v>
      </c>
      <c r="B28" s="1" t="s">
        <v>20</v>
      </c>
      <c r="C28" t="s">
        <v>147</v>
      </c>
      <c r="D28" s="5"/>
      <c r="E28" s="5"/>
      <c r="F28" t="s">
        <v>20</v>
      </c>
      <c r="G28" t="s">
        <v>225</v>
      </c>
    </row>
    <row r="29" spans="1:7" x14ac:dyDescent="0.3">
      <c r="A29" t="s">
        <v>34</v>
      </c>
      <c r="B29" s="1" t="s">
        <v>35</v>
      </c>
      <c r="C29" t="s">
        <v>34</v>
      </c>
      <c r="D29" t="s">
        <v>148</v>
      </c>
      <c r="F29" t="s">
        <v>35</v>
      </c>
      <c r="G29" t="s">
        <v>225</v>
      </c>
    </row>
    <row r="30" spans="1:7" x14ac:dyDescent="0.3">
      <c r="A30" t="s">
        <v>36</v>
      </c>
      <c r="B30" s="1" t="s">
        <v>37</v>
      </c>
      <c r="C30" t="s">
        <v>149</v>
      </c>
      <c r="D30" t="s">
        <v>150</v>
      </c>
      <c r="F30" t="s">
        <v>151</v>
      </c>
      <c r="G30" t="s">
        <v>225</v>
      </c>
    </row>
    <row r="31" spans="1:7" x14ac:dyDescent="0.3">
      <c r="A31" t="s">
        <v>38</v>
      </c>
      <c r="B31" s="1" t="s">
        <v>37</v>
      </c>
      <c r="C31" t="s">
        <v>152</v>
      </c>
      <c r="D31" t="s">
        <v>153</v>
      </c>
      <c r="F31" t="s">
        <v>151</v>
      </c>
      <c r="G31" t="s">
        <v>225</v>
      </c>
    </row>
    <row r="32" spans="1:7" x14ac:dyDescent="0.3">
      <c r="A32" t="s">
        <v>39</v>
      </c>
      <c r="B32" s="1" t="s">
        <v>40</v>
      </c>
      <c r="C32" t="s">
        <v>154</v>
      </c>
      <c r="D32" t="s">
        <v>155</v>
      </c>
      <c r="F32" t="s">
        <v>156</v>
      </c>
      <c r="G32" t="s">
        <v>225</v>
      </c>
    </row>
    <row r="33" spans="1:7" ht="43.2" x14ac:dyDescent="0.3">
      <c r="A33" t="s">
        <v>41</v>
      </c>
      <c r="B33" s="1" t="s">
        <v>42</v>
      </c>
      <c r="C33" s="3" t="s">
        <v>223</v>
      </c>
      <c r="D33" s="3" t="s">
        <v>224</v>
      </c>
      <c r="E33" s="3"/>
      <c r="F33" t="s">
        <v>42</v>
      </c>
      <c r="G33" t="s">
        <v>225</v>
      </c>
    </row>
    <row r="34" spans="1:7" ht="216" x14ac:dyDescent="0.3">
      <c r="A34" t="s">
        <v>43</v>
      </c>
      <c r="B34" s="1" t="s">
        <v>42</v>
      </c>
      <c r="C34" s="2" t="s">
        <v>157</v>
      </c>
      <c r="D34" s="2" t="s">
        <v>158</v>
      </c>
      <c r="E34" s="2"/>
      <c r="F34" t="s">
        <v>42</v>
      </c>
      <c r="G34" t="s">
        <v>225</v>
      </c>
    </row>
    <row r="35" spans="1:7" x14ac:dyDescent="0.3">
      <c r="A35" t="s">
        <v>44</v>
      </c>
      <c r="B35" s="1" t="s">
        <v>45</v>
      </c>
      <c r="C35" t="s">
        <v>45</v>
      </c>
      <c r="D35" s="8"/>
      <c r="E35" s="8"/>
      <c r="F35" t="s">
        <v>159</v>
      </c>
      <c r="G35" t="s">
        <v>183</v>
      </c>
    </row>
    <row r="36" spans="1:7" x14ac:dyDescent="0.3">
      <c r="A36" t="s">
        <v>46</v>
      </c>
      <c r="B36" s="1" t="s">
        <v>47</v>
      </c>
      <c r="C36" t="s">
        <v>160</v>
      </c>
      <c r="D36" t="s">
        <v>161</v>
      </c>
      <c r="F36" t="s">
        <v>68</v>
      </c>
      <c r="G36" t="s">
        <v>225</v>
      </c>
    </row>
    <row r="37" spans="1:7" x14ac:dyDescent="0.3">
      <c r="A37" t="s">
        <v>48</v>
      </c>
      <c r="B37" s="1" t="s">
        <v>49</v>
      </c>
      <c r="C37" t="s">
        <v>48</v>
      </c>
      <c r="D37" t="s">
        <v>162</v>
      </c>
      <c r="F37" t="s">
        <v>49</v>
      </c>
      <c r="G37" t="s">
        <v>225</v>
      </c>
    </row>
    <row r="38" spans="1:7" x14ac:dyDescent="0.3">
      <c r="A38" t="s">
        <v>50</v>
      </c>
      <c r="B38" s="1" t="s">
        <v>49</v>
      </c>
      <c r="C38" t="s">
        <v>50</v>
      </c>
      <c r="D38" t="s">
        <v>163</v>
      </c>
      <c r="F38" t="s">
        <v>49</v>
      </c>
      <c r="G38" t="s">
        <v>225</v>
      </c>
    </row>
    <row r="39" spans="1:7" x14ac:dyDescent="0.3">
      <c r="A39" t="s">
        <v>51</v>
      </c>
      <c r="B39" s="1" t="s">
        <v>8</v>
      </c>
      <c r="C39" s="4"/>
      <c r="D39" s="4"/>
      <c r="E39" s="4"/>
      <c r="F39" t="s">
        <v>238</v>
      </c>
      <c r="G39" t="s">
        <v>225</v>
      </c>
    </row>
    <row r="40" spans="1:7" x14ac:dyDescent="0.3">
      <c r="A40" t="s">
        <v>52</v>
      </c>
      <c r="B40" s="1" t="s">
        <v>53</v>
      </c>
      <c r="C40" t="s">
        <v>52</v>
      </c>
      <c r="D40" t="s">
        <v>164</v>
      </c>
      <c r="F40" t="s">
        <v>165</v>
      </c>
      <c r="G40" t="s">
        <v>225</v>
      </c>
    </row>
    <row r="41" spans="1:7" x14ac:dyDescent="0.3">
      <c r="A41" t="s">
        <v>54</v>
      </c>
      <c r="B41" s="1" t="s">
        <v>55</v>
      </c>
      <c r="C41" t="s">
        <v>54</v>
      </c>
      <c r="D41" t="s">
        <v>166</v>
      </c>
      <c r="F41" t="s">
        <v>55</v>
      </c>
      <c r="G41" t="s">
        <v>225</v>
      </c>
    </row>
    <row r="42" spans="1:7" x14ac:dyDescent="0.3">
      <c r="A42" t="s">
        <v>56</v>
      </c>
      <c r="B42" s="1" t="s">
        <v>55</v>
      </c>
      <c r="C42" t="s">
        <v>56</v>
      </c>
      <c r="D42" t="s">
        <v>167</v>
      </c>
      <c r="F42" t="s">
        <v>55</v>
      </c>
      <c r="G42" t="s">
        <v>225</v>
      </c>
    </row>
    <row r="43" spans="1:7" ht="28.8" x14ac:dyDescent="0.3">
      <c r="A43" t="s">
        <v>57</v>
      </c>
      <c r="B43" s="1" t="s">
        <v>58</v>
      </c>
      <c r="C43" s="3" t="s">
        <v>174</v>
      </c>
      <c r="D43" s="3" t="s">
        <v>175</v>
      </c>
      <c r="E43" s="3"/>
      <c r="F43" t="s">
        <v>168</v>
      </c>
      <c r="G43" t="s">
        <v>225</v>
      </c>
    </row>
    <row r="44" spans="1:7" x14ac:dyDescent="0.3">
      <c r="A44" t="s">
        <v>59</v>
      </c>
      <c r="B44" s="1" t="s">
        <v>58</v>
      </c>
      <c r="C44" t="s">
        <v>169</v>
      </c>
      <c r="D44" t="s">
        <v>170</v>
      </c>
      <c r="F44" t="s">
        <v>168</v>
      </c>
      <c r="G44" t="s">
        <v>225</v>
      </c>
    </row>
    <row r="45" spans="1:7" ht="28.8" x14ac:dyDescent="0.3">
      <c r="A45" t="s">
        <v>60</v>
      </c>
      <c r="B45" s="1" t="s">
        <v>58</v>
      </c>
      <c r="C45" s="3" t="s">
        <v>176</v>
      </c>
      <c r="D45" s="3" t="s">
        <v>177</v>
      </c>
      <c r="E45" s="3"/>
      <c r="F45" t="s">
        <v>168</v>
      </c>
      <c r="G45" t="s">
        <v>225</v>
      </c>
    </row>
    <row r="46" spans="1:7" x14ac:dyDescent="0.3">
      <c r="A46" t="s">
        <v>61</v>
      </c>
      <c r="B46" s="1" t="s">
        <v>58</v>
      </c>
      <c r="C46" t="s">
        <v>171</v>
      </c>
      <c r="D46" t="s">
        <v>172</v>
      </c>
      <c r="F46" t="s">
        <v>168</v>
      </c>
      <c r="G46" t="s">
        <v>225</v>
      </c>
    </row>
    <row r="47" spans="1:7" x14ac:dyDescent="0.3">
      <c r="A47" t="s">
        <v>62</v>
      </c>
      <c r="B47" s="1" t="s">
        <v>58</v>
      </c>
      <c r="C47" t="s">
        <v>62</v>
      </c>
      <c r="D47" t="s">
        <v>173</v>
      </c>
      <c r="F47" t="s">
        <v>168</v>
      </c>
      <c r="G47" t="s">
        <v>225</v>
      </c>
    </row>
    <row r="48" spans="1:7" x14ac:dyDescent="0.3">
      <c r="A48" t="s">
        <v>63</v>
      </c>
      <c r="B48" s="1" t="s">
        <v>64</v>
      </c>
      <c r="C48" t="s">
        <v>178</v>
      </c>
      <c r="D48" s="8"/>
      <c r="E48" s="8"/>
      <c r="F48" t="s">
        <v>64</v>
      </c>
      <c r="G48" t="s">
        <v>183</v>
      </c>
    </row>
    <row r="49" spans="1:7" x14ac:dyDescent="0.3">
      <c r="A49" t="s">
        <v>65</v>
      </c>
      <c r="B49" s="1" t="s">
        <v>8</v>
      </c>
      <c r="C49" s="2" t="s">
        <v>228</v>
      </c>
      <c r="D49" t="str">
        <f t="shared" ref="D49" si="1">_xlfn.CONCAT("Engagement - ", C49)</f>
        <v>Engagement - North America</v>
      </c>
      <c r="E49" s="2" t="s">
        <v>65</v>
      </c>
      <c r="F49" t="s">
        <v>238</v>
      </c>
      <c r="G49" t="s">
        <v>225</v>
      </c>
    </row>
    <row r="50" spans="1:7" x14ac:dyDescent="0.3">
      <c r="A50" t="s">
        <v>66</v>
      </c>
      <c r="B50" s="1" t="s">
        <v>67</v>
      </c>
      <c r="C50" t="s">
        <v>179</v>
      </c>
      <c r="D50" t="s">
        <v>180</v>
      </c>
      <c r="F50" t="s">
        <v>181</v>
      </c>
      <c r="G50" t="s">
        <v>225</v>
      </c>
    </row>
    <row r="51" spans="1:7" x14ac:dyDescent="0.3">
      <c r="A51" t="s">
        <v>69</v>
      </c>
      <c r="B51" s="1" t="s">
        <v>68</v>
      </c>
      <c r="C51" t="s">
        <v>182</v>
      </c>
      <c r="D51" t="s">
        <v>245</v>
      </c>
      <c r="F51" t="s">
        <v>68</v>
      </c>
      <c r="G51" t="s">
        <v>225</v>
      </c>
    </row>
    <row r="52" spans="1:7" x14ac:dyDescent="0.3">
      <c r="A52" t="s">
        <v>70</v>
      </c>
      <c r="B52" s="1" t="s">
        <v>68</v>
      </c>
      <c r="C52" t="s">
        <v>184</v>
      </c>
      <c r="D52" t="s">
        <v>185</v>
      </c>
      <c r="F52" t="s">
        <v>68</v>
      </c>
      <c r="G52" t="s">
        <v>225</v>
      </c>
    </row>
    <row r="53" spans="1:7" ht="28.8" x14ac:dyDescent="0.3">
      <c r="A53" t="s">
        <v>71</v>
      </c>
      <c r="B53" s="1" t="s">
        <v>72</v>
      </c>
      <c r="C53" s="2" t="s">
        <v>186</v>
      </c>
      <c r="D53" s="2" t="s">
        <v>187</v>
      </c>
      <c r="E53" s="2"/>
      <c r="F53" t="s">
        <v>72</v>
      </c>
      <c r="G53" t="s">
        <v>225</v>
      </c>
    </row>
    <row r="54" spans="1:7" x14ac:dyDescent="0.3">
      <c r="A54" t="s">
        <v>73</v>
      </c>
      <c r="B54" s="1" t="s">
        <v>72</v>
      </c>
      <c r="C54" t="s">
        <v>73</v>
      </c>
      <c r="D54" t="s">
        <v>188</v>
      </c>
      <c r="F54" t="s">
        <v>72</v>
      </c>
      <c r="G54" t="s">
        <v>225</v>
      </c>
    </row>
    <row r="55" spans="1:7" x14ac:dyDescent="0.3">
      <c r="A55" t="s">
        <v>74</v>
      </c>
      <c r="B55" s="1" t="s">
        <v>72</v>
      </c>
      <c r="C55" t="s">
        <v>189</v>
      </c>
      <c r="D55" t="s">
        <v>190</v>
      </c>
      <c r="F55" t="s">
        <v>72</v>
      </c>
      <c r="G55" t="s">
        <v>225</v>
      </c>
    </row>
    <row r="56" spans="1:7" x14ac:dyDescent="0.3">
      <c r="A56" t="s">
        <v>75</v>
      </c>
      <c r="B56" s="1" t="s">
        <v>76</v>
      </c>
      <c r="C56" t="s">
        <v>75</v>
      </c>
      <c r="D56" t="s">
        <v>191</v>
      </c>
      <c r="F56" t="s">
        <v>192</v>
      </c>
      <c r="G56" t="s">
        <v>225</v>
      </c>
    </row>
    <row r="57" spans="1:7" x14ac:dyDescent="0.3">
      <c r="A57" t="s">
        <v>77</v>
      </c>
      <c r="B57" s="1" t="s">
        <v>78</v>
      </c>
      <c r="C57" t="s">
        <v>77</v>
      </c>
      <c r="D57" t="s">
        <v>193</v>
      </c>
      <c r="F57" t="s">
        <v>194</v>
      </c>
      <c r="G57" t="s">
        <v>225</v>
      </c>
    </row>
    <row r="58" spans="1:7" x14ac:dyDescent="0.3">
      <c r="A58" t="s">
        <v>79</v>
      </c>
      <c r="B58" s="1" t="s">
        <v>80</v>
      </c>
      <c r="C58" t="s">
        <v>79</v>
      </c>
      <c r="D58" t="s">
        <v>195</v>
      </c>
      <c r="F58" t="s">
        <v>196</v>
      </c>
      <c r="G58" t="s">
        <v>225</v>
      </c>
    </row>
    <row r="59" spans="1:7" x14ac:dyDescent="0.3">
      <c r="A59" t="s">
        <v>81</v>
      </c>
      <c r="B59" s="1" t="s">
        <v>47</v>
      </c>
      <c r="C59" t="s">
        <v>197</v>
      </c>
      <c r="D59" t="s">
        <v>198</v>
      </c>
      <c r="F59" t="s">
        <v>181</v>
      </c>
      <c r="G59" t="s">
        <v>225</v>
      </c>
    </row>
    <row r="60" spans="1:7" x14ac:dyDescent="0.3">
      <c r="A60" t="s">
        <v>82</v>
      </c>
      <c r="B60" s="1" t="s">
        <v>47</v>
      </c>
      <c r="C60" t="s">
        <v>199</v>
      </c>
      <c r="D60" t="s">
        <v>200</v>
      </c>
      <c r="F60" t="s">
        <v>181</v>
      </c>
      <c r="G60" t="s">
        <v>225</v>
      </c>
    </row>
    <row r="61" spans="1:7" x14ac:dyDescent="0.3">
      <c r="A61" t="s">
        <v>83</v>
      </c>
      <c r="B61" s="1" t="s">
        <v>47</v>
      </c>
      <c r="C61" t="s">
        <v>201</v>
      </c>
      <c r="D61" t="s">
        <v>202</v>
      </c>
      <c r="F61" t="s">
        <v>181</v>
      </c>
      <c r="G61" t="s">
        <v>225</v>
      </c>
    </row>
    <row r="62" spans="1:7" x14ac:dyDescent="0.3">
      <c r="A62" t="s">
        <v>84</v>
      </c>
      <c r="B62" s="1" t="s">
        <v>8</v>
      </c>
      <c r="C62" s="2" t="s">
        <v>240</v>
      </c>
      <c r="D62" t="str">
        <f t="shared" ref="D62:D70" si="2">_xlfn.CONCAT("Engagement - ", C62)</f>
        <v>Engagement - Philippines</v>
      </c>
      <c r="E62" s="2" t="s">
        <v>234</v>
      </c>
      <c r="F62" t="s">
        <v>238</v>
      </c>
      <c r="G62" t="s">
        <v>225</v>
      </c>
    </row>
    <row r="63" spans="1:7" x14ac:dyDescent="0.3">
      <c r="A63" t="s">
        <v>85</v>
      </c>
      <c r="B63" s="1" t="s">
        <v>8</v>
      </c>
      <c r="C63" s="2" t="s">
        <v>240</v>
      </c>
      <c r="D63" t="str">
        <f t="shared" si="2"/>
        <v>Engagement - Philippines</v>
      </c>
      <c r="E63" s="2" t="s">
        <v>235</v>
      </c>
      <c r="F63" t="s">
        <v>238</v>
      </c>
      <c r="G63" t="s">
        <v>225</v>
      </c>
    </row>
    <row r="64" spans="1:7" x14ac:dyDescent="0.3">
      <c r="A64" t="s">
        <v>86</v>
      </c>
      <c r="B64" s="1" t="s">
        <v>8</v>
      </c>
      <c r="C64" s="2" t="s">
        <v>240</v>
      </c>
      <c r="D64" t="str">
        <f t="shared" si="2"/>
        <v>Engagement - Philippines</v>
      </c>
      <c r="E64" s="2" t="s">
        <v>229</v>
      </c>
      <c r="F64" t="s">
        <v>238</v>
      </c>
      <c r="G64" t="s">
        <v>225</v>
      </c>
    </row>
    <row r="65" spans="1:7" x14ac:dyDescent="0.3">
      <c r="A65" t="s">
        <v>87</v>
      </c>
      <c r="B65" s="1" t="s">
        <v>8</v>
      </c>
      <c r="C65" s="2" t="s">
        <v>240</v>
      </c>
      <c r="D65" t="str">
        <f t="shared" si="2"/>
        <v>Engagement - Philippines</v>
      </c>
      <c r="E65" s="2" t="s">
        <v>233</v>
      </c>
      <c r="F65" t="s">
        <v>238</v>
      </c>
      <c r="G65" t="s">
        <v>225</v>
      </c>
    </row>
    <row r="66" spans="1:7" x14ac:dyDescent="0.3">
      <c r="A66" t="s">
        <v>88</v>
      </c>
      <c r="B66" s="1" t="s">
        <v>8</v>
      </c>
      <c r="C66" s="2" t="s">
        <v>240</v>
      </c>
      <c r="D66" t="str">
        <f t="shared" si="2"/>
        <v>Engagement - Philippines</v>
      </c>
      <c r="E66" s="2" t="s">
        <v>232</v>
      </c>
      <c r="F66" t="s">
        <v>238</v>
      </c>
      <c r="G66" t="s">
        <v>225</v>
      </c>
    </row>
    <row r="67" spans="1:7" x14ac:dyDescent="0.3">
      <c r="A67" t="s">
        <v>89</v>
      </c>
      <c r="B67" s="1" t="s">
        <v>8</v>
      </c>
      <c r="C67" s="2" t="s">
        <v>240</v>
      </c>
      <c r="D67" t="str">
        <f t="shared" si="2"/>
        <v>Engagement - Philippines</v>
      </c>
      <c r="E67" s="2" t="s">
        <v>65</v>
      </c>
      <c r="F67" t="s">
        <v>238</v>
      </c>
      <c r="G67" t="s">
        <v>225</v>
      </c>
    </row>
    <row r="68" spans="1:7" x14ac:dyDescent="0.3">
      <c r="A68" t="s">
        <v>90</v>
      </c>
      <c r="B68" s="1" t="s">
        <v>8</v>
      </c>
      <c r="C68" s="2" t="s">
        <v>240</v>
      </c>
      <c r="D68" t="str">
        <f t="shared" si="2"/>
        <v>Engagement - Philippines</v>
      </c>
      <c r="E68" s="2" t="s">
        <v>230</v>
      </c>
      <c r="F68" t="s">
        <v>238</v>
      </c>
      <c r="G68" t="s">
        <v>225</v>
      </c>
    </row>
    <row r="69" spans="1:7" x14ac:dyDescent="0.3">
      <c r="A69" t="s">
        <v>91</v>
      </c>
      <c r="B69" s="1" t="s">
        <v>8</v>
      </c>
      <c r="C69" s="2" t="s">
        <v>240</v>
      </c>
      <c r="D69" t="str">
        <f t="shared" si="2"/>
        <v>Engagement - Philippines</v>
      </c>
      <c r="E69" s="9" t="s">
        <v>230</v>
      </c>
      <c r="F69" t="s">
        <v>238</v>
      </c>
      <c r="G69" s="6" t="s">
        <v>237</v>
      </c>
    </row>
    <row r="70" spans="1:7" x14ac:dyDescent="0.3">
      <c r="A70" t="s">
        <v>92</v>
      </c>
      <c r="B70" s="1" t="s">
        <v>8</v>
      </c>
      <c r="C70" s="2" t="s">
        <v>240</v>
      </c>
      <c r="D70" t="str">
        <f t="shared" si="2"/>
        <v>Engagement - Philippines</v>
      </c>
      <c r="E70" s="2" t="s">
        <v>230</v>
      </c>
      <c r="F70" t="s">
        <v>238</v>
      </c>
      <c r="G70" t="s">
        <v>225</v>
      </c>
    </row>
    <row r="71" spans="1:7" ht="28.8" x14ac:dyDescent="0.3">
      <c r="A71" t="s">
        <v>93</v>
      </c>
      <c r="B71" s="1" t="s">
        <v>68</v>
      </c>
      <c r="C71" s="3" t="s">
        <v>203</v>
      </c>
      <c r="D71" s="3" t="s">
        <v>204</v>
      </c>
      <c r="E71" s="3"/>
      <c r="F71" t="s">
        <v>68</v>
      </c>
      <c r="G71" t="s">
        <v>225</v>
      </c>
    </row>
    <row r="72" spans="1:7" x14ac:dyDescent="0.3">
      <c r="A72" t="s">
        <v>94</v>
      </c>
      <c r="B72" s="1" t="s">
        <v>49</v>
      </c>
      <c r="C72" t="s">
        <v>205</v>
      </c>
      <c r="D72" t="s">
        <v>206</v>
      </c>
      <c r="F72" t="s">
        <v>49</v>
      </c>
      <c r="G72" t="s">
        <v>225</v>
      </c>
    </row>
    <row r="73" spans="1:7" x14ac:dyDescent="0.3">
      <c r="A73" t="s">
        <v>95</v>
      </c>
      <c r="B73" s="1" t="s">
        <v>72</v>
      </c>
      <c r="C73" t="s">
        <v>207</v>
      </c>
      <c r="D73" t="s">
        <v>208</v>
      </c>
      <c r="F73" t="s">
        <v>72</v>
      </c>
      <c r="G73" t="s">
        <v>225</v>
      </c>
    </row>
    <row r="74" spans="1:7" x14ac:dyDescent="0.3">
      <c r="A74" t="s">
        <v>96</v>
      </c>
      <c r="B74" s="1" t="s">
        <v>72</v>
      </c>
      <c r="C74" t="s">
        <v>209</v>
      </c>
      <c r="D74" t="s">
        <v>210</v>
      </c>
      <c r="F74" t="s">
        <v>72</v>
      </c>
      <c r="G74" t="s">
        <v>225</v>
      </c>
    </row>
    <row r="75" spans="1:7" x14ac:dyDescent="0.3">
      <c r="A75" t="s">
        <v>97</v>
      </c>
      <c r="B75" s="1" t="s">
        <v>98</v>
      </c>
      <c r="C75" t="s">
        <v>242</v>
      </c>
      <c r="D75" s="2" t="s">
        <v>243</v>
      </c>
      <c r="E75" s="2"/>
      <c r="F75" t="s">
        <v>244</v>
      </c>
      <c r="G75" t="s">
        <v>225</v>
      </c>
    </row>
    <row r="76" spans="1:7" x14ac:dyDescent="0.3">
      <c r="A76" t="s">
        <v>99</v>
      </c>
      <c r="B76" s="1" t="s">
        <v>100</v>
      </c>
      <c r="C76" t="s">
        <v>211</v>
      </c>
      <c r="D76" t="s">
        <v>212</v>
      </c>
      <c r="F76" t="s">
        <v>100</v>
      </c>
      <c r="G76" t="s">
        <v>225</v>
      </c>
    </row>
    <row r="77" spans="1:7" x14ac:dyDescent="0.3">
      <c r="A77" t="s">
        <v>101</v>
      </c>
      <c r="B77" s="1" t="s">
        <v>53</v>
      </c>
      <c r="C77" t="s">
        <v>213</v>
      </c>
      <c r="D77" t="s">
        <v>214</v>
      </c>
      <c r="F77" t="s">
        <v>165</v>
      </c>
      <c r="G77" t="s">
        <v>225</v>
      </c>
    </row>
    <row r="78" spans="1:7" x14ac:dyDescent="0.3">
      <c r="A78" t="s">
        <v>102</v>
      </c>
      <c r="B78" s="1" t="s">
        <v>53</v>
      </c>
      <c r="C78" t="s">
        <v>215</v>
      </c>
      <c r="D78" t="s">
        <v>216</v>
      </c>
      <c r="F78" t="s">
        <v>165</v>
      </c>
      <c r="G78" t="s">
        <v>225</v>
      </c>
    </row>
    <row r="79" spans="1:7" x14ac:dyDescent="0.3">
      <c r="A79" t="s">
        <v>103</v>
      </c>
      <c r="B79" s="1" t="s">
        <v>53</v>
      </c>
      <c r="C79" t="s">
        <v>103</v>
      </c>
      <c r="D79" t="s">
        <v>217</v>
      </c>
      <c r="F79" t="s">
        <v>165</v>
      </c>
      <c r="G79" t="s">
        <v>225</v>
      </c>
    </row>
    <row r="80" spans="1:7" x14ac:dyDescent="0.3">
      <c r="A80" t="s">
        <v>104</v>
      </c>
      <c r="B80" s="1" t="s">
        <v>53</v>
      </c>
      <c r="C80" t="s">
        <v>104</v>
      </c>
      <c r="D80" t="s">
        <v>218</v>
      </c>
      <c r="F80" t="s">
        <v>165</v>
      </c>
      <c r="G80" t="s">
        <v>225</v>
      </c>
    </row>
    <row r="81" spans="1:7" x14ac:dyDescent="0.3">
      <c r="A81" t="s">
        <v>105</v>
      </c>
      <c r="B81" s="1" t="s">
        <v>8</v>
      </c>
      <c r="C81" s="2" t="s">
        <v>239</v>
      </c>
      <c r="D81" t="str">
        <f t="shared" ref="D81:D94" si="3">_xlfn.CONCAT("Engagement - ", C81)</f>
        <v>Engagement - Thailand</v>
      </c>
      <c r="E81" s="2" t="s">
        <v>234</v>
      </c>
      <c r="F81" t="s">
        <v>238</v>
      </c>
      <c r="G81" t="s">
        <v>225</v>
      </c>
    </row>
    <row r="82" spans="1:7" x14ac:dyDescent="0.3">
      <c r="A82" t="s">
        <v>106</v>
      </c>
      <c r="B82" s="1" t="s">
        <v>8</v>
      </c>
      <c r="C82" s="2" t="s">
        <v>239</v>
      </c>
      <c r="D82" t="str">
        <f t="shared" si="3"/>
        <v>Engagement - Thailand</v>
      </c>
      <c r="E82" s="2" t="s">
        <v>229</v>
      </c>
      <c r="F82" t="s">
        <v>238</v>
      </c>
      <c r="G82" t="s">
        <v>225</v>
      </c>
    </row>
    <row r="83" spans="1:7" x14ac:dyDescent="0.3">
      <c r="A83" t="s">
        <v>107</v>
      </c>
      <c r="B83" s="1" t="s">
        <v>8</v>
      </c>
      <c r="C83" s="2" t="s">
        <v>239</v>
      </c>
      <c r="D83" t="str">
        <f t="shared" si="3"/>
        <v>Engagement - Thailand</v>
      </c>
      <c r="E83" s="2" t="s">
        <v>233</v>
      </c>
      <c r="F83" t="s">
        <v>238</v>
      </c>
      <c r="G83" t="s">
        <v>225</v>
      </c>
    </row>
    <row r="84" spans="1:7" x14ac:dyDescent="0.3">
      <c r="A84" t="s">
        <v>108</v>
      </c>
      <c r="B84" s="1" t="s">
        <v>8</v>
      </c>
      <c r="C84" s="2" t="s">
        <v>239</v>
      </c>
      <c r="D84" t="str">
        <f t="shared" si="3"/>
        <v>Engagement - Thailand</v>
      </c>
      <c r="E84" s="2" t="s">
        <v>232</v>
      </c>
      <c r="F84" t="s">
        <v>238</v>
      </c>
      <c r="G84" t="s">
        <v>225</v>
      </c>
    </row>
    <row r="85" spans="1:7" x14ac:dyDescent="0.3">
      <c r="A85" t="s">
        <v>109</v>
      </c>
      <c r="B85" s="1" t="s">
        <v>8</v>
      </c>
      <c r="C85" s="2" t="s">
        <v>239</v>
      </c>
      <c r="D85" t="str">
        <f t="shared" si="3"/>
        <v>Engagement - Thailand</v>
      </c>
      <c r="E85" s="2" t="s">
        <v>231</v>
      </c>
      <c r="F85" t="s">
        <v>238</v>
      </c>
      <c r="G85" t="s">
        <v>225</v>
      </c>
    </row>
    <row r="86" spans="1:7" x14ac:dyDescent="0.3">
      <c r="A86" t="s">
        <v>110</v>
      </c>
      <c r="B86" s="1" t="s">
        <v>8</v>
      </c>
      <c r="C86" s="2" t="s">
        <v>239</v>
      </c>
      <c r="D86" t="str">
        <f t="shared" si="3"/>
        <v>Engagement - Thailand</v>
      </c>
      <c r="E86" s="9" t="s">
        <v>230</v>
      </c>
      <c r="F86" t="s">
        <v>238</v>
      </c>
      <c r="G86" s="6" t="s">
        <v>237</v>
      </c>
    </row>
    <row r="87" spans="1:7" x14ac:dyDescent="0.3">
      <c r="A87" t="s">
        <v>111</v>
      </c>
      <c r="B87" s="1" t="s">
        <v>8</v>
      </c>
      <c r="C87" s="2" t="s">
        <v>239</v>
      </c>
      <c r="D87" t="str">
        <f t="shared" si="3"/>
        <v>Engagement - Thailand</v>
      </c>
      <c r="E87" s="2" t="s">
        <v>230</v>
      </c>
      <c r="F87" t="s">
        <v>238</v>
      </c>
      <c r="G87" t="s">
        <v>225</v>
      </c>
    </row>
    <row r="88" spans="1:7" x14ac:dyDescent="0.3">
      <c r="A88" t="s">
        <v>112</v>
      </c>
      <c r="B88" s="1" t="s">
        <v>8</v>
      </c>
      <c r="C88" s="2" t="s">
        <v>239</v>
      </c>
      <c r="D88" t="str">
        <f t="shared" si="3"/>
        <v>Engagement - Thailand</v>
      </c>
      <c r="E88" s="2" t="s">
        <v>229</v>
      </c>
      <c r="F88" t="s">
        <v>238</v>
      </c>
      <c r="G88" t="s">
        <v>225</v>
      </c>
    </row>
    <row r="89" spans="1:7" x14ac:dyDescent="0.3">
      <c r="A89" t="s">
        <v>113</v>
      </c>
      <c r="B89" s="1" t="s">
        <v>114</v>
      </c>
      <c r="C89" t="s">
        <v>219</v>
      </c>
      <c r="D89" s="8"/>
      <c r="E89" s="8"/>
      <c r="F89" t="s">
        <v>114</v>
      </c>
      <c r="G89" t="s">
        <v>183</v>
      </c>
    </row>
    <row r="90" spans="1:7" x14ac:dyDescent="0.3">
      <c r="A90" t="s">
        <v>115</v>
      </c>
      <c r="B90" s="1" t="s">
        <v>8</v>
      </c>
      <c r="C90" s="2" t="s">
        <v>228</v>
      </c>
      <c r="D90" t="str">
        <f t="shared" si="3"/>
        <v>Engagement - North America</v>
      </c>
      <c r="E90" s="2" t="s">
        <v>65</v>
      </c>
      <c r="F90" t="s">
        <v>238</v>
      </c>
      <c r="G90" t="s">
        <v>225</v>
      </c>
    </row>
    <row r="91" spans="1:7" x14ac:dyDescent="0.3">
      <c r="A91" t="s">
        <v>116</v>
      </c>
      <c r="B91" s="1" t="s">
        <v>8</v>
      </c>
      <c r="C91" s="2" t="s">
        <v>228</v>
      </c>
      <c r="D91" t="str">
        <f t="shared" si="3"/>
        <v>Engagement - North America</v>
      </c>
      <c r="E91" s="2" t="s">
        <v>231</v>
      </c>
      <c r="F91" t="s">
        <v>238</v>
      </c>
      <c r="G91" t="s">
        <v>225</v>
      </c>
    </row>
    <row r="92" spans="1:7" x14ac:dyDescent="0.3">
      <c r="A92" t="s">
        <v>117</v>
      </c>
      <c r="B92" s="1" t="s">
        <v>8</v>
      </c>
      <c r="C92" s="2" t="s">
        <v>228</v>
      </c>
      <c r="D92" t="str">
        <f t="shared" si="3"/>
        <v>Engagement - North America</v>
      </c>
      <c r="E92" s="9" t="s">
        <v>230</v>
      </c>
      <c r="F92" t="s">
        <v>238</v>
      </c>
      <c r="G92" s="6" t="s">
        <v>237</v>
      </c>
    </row>
    <row r="93" spans="1:7" x14ac:dyDescent="0.3">
      <c r="A93" t="s">
        <v>118</v>
      </c>
      <c r="B93" s="1" t="s">
        <v>8</v>
      </c>
      <c r="C93" s="2" t="s">
        <v>228</v>
      </c>
      <c r="D93" t="str">
        <f t="shared" si="3"/>
        <v>Engagement - North America</v>
      </c>
      <c r="E93" s="2" t="s">
        <v>230</v>
      </c>
      <c r="F93" t="s">
        <v>238</v>
      </c>
      <c r="G93" t="s">
        <v>225</v>
      </c>
    </row>
    <row r="94" spans="1:7" x14ac:dyDescent="0.3">
      <c r="A94" t="s">
        <v>119</v>
      </c>
      <c r="B94" s="1" t="s">
        <v>8</v>
      </c>
      <c r="C94" s="2" t="s">
        <v>228</v>
      </c>
      <c r="D94" t="str">
        <f t="shared" si="3"/>
        <v>Engagement - North America</v>
      </c>
      <c r="E94" s="2" t="s">
        <v>229</v>
      </c>
      <c r="F94" t="s">
        <v>238</v>
      </c>
      <c r="G94" t="s">
        <v>225</v>
      </c>
    </row>
    <row r="95" spans="1:7" ht="28.8" x14ac:dyDescent="0.3">
      <c r="A95" t="s">
        <v>120</v>
      </c>
      <c r="B95" s="1" t="s">
        <v>121</v>
      </c>
      <c r="C95" s="2" t="s">
        <v>220</v>
      </c>
      <c r="D95" s="2" t="s">
        <v>221</v>
      </c>
      <c r="E95" s="2"/>
      <c r="F95" t="s">
        <v>222</v>
      </c>
      <c r="G95" t="s">
        <v>225</v>
      </c>
    </row>
    <row r="96" spans="1:7" x14ac:dyDescent="0.3">
      <c r="A96" t="s">
        <v>246</v>
      </c>
      <c r="B96" s="1" t="s">
        <v>8</v>
      </c>
      <c r="C96" s="2" t="s">
        <v>240</v>
      </c>
      <c r="D96" t="str">
        <f t="shared" ref="D96:D101" si="4">_xlfn.CONCAT("Engagement - ", C96)</f>
        <v>Engagement - Philippines</v>
      </c>
      <c r="E96" s="2" t="s">
        <v>229</v>
      </c>
      <c r="F96" t="s">
        <v>238</v>
      </c>
      <c r="G96" t="s">
        <v>225</v>
      </c>
    </row>
    <row r="97" spans="1:7" x14ac:dyDescent="0.3">
      <c r="A97" t="s">
        <v>247</v>
      </c>
      <c r="B97" s="1" t="s">
        <v>8</v>
      </c>
      <c r="C97" s="2" t="s">
        <v>241</v>
      </c>
      <c r="D97" t="str">
        <f t="shared" si="4"/>
        <v>Engagement - Australia</v>
      </c>
      <c r="E97" s="2" t="s">
        <v>230</v>
      </c>
      <c r="F97" t="s">
        <v>238</v>
      </c>
      <c r="G97" t="s">
        <v>225</v>
      </c>
    </row>
    <row r="98" spans="1:7" x14ac:dyDescent="0.3">
      <c r="A98" t="s">
        <v>248</v>
      </c>
      <c r="B98" s="1" t="s">
        <v>8</v>
      </c>
      <c r="C98" s="2" t="s">
        <v>228</v>
      </c>
      <c r="D98" t="str">
        <f t="shared" si="4"/>
        <v>Engagement - North America</v>
      </c>
      <c r="E98" s="2" t="s">
        <v>230</v>
      </c>
      <c r="F98" t="s">
        <v>238</v>
      </c>
      <c r="G98" t="s">
        <v>225</v>
      </c>
    </row>
    <row r="99" spans="1:7" x14ac:dyDescent="0.3">
      <c r="A99" t="s">
        <v>249</v>
      </c>
      <c r="B99" s="1" t="s">
        <v>8</v>
      </c>
      <c r="C99" s="2" t="s">
        <v>228</v>
      </c>
      <c r="D99" t="str">
        <f t="shared" si="4"/>
        <v>Engagement - North America</v>
      </c>
      <c r="E99" s="2" t="s">
        <v>229</v>
      </c>
      <c r="F99" t="s">
        <v>238</v>
      </c>
      <c r="G99" t="s">
        <v>225</v>
      </c>
    </row>
    <row r="100" spans="1:7" x14ac:dyDescent="0.3">
      <c r="A100" t="s">
        <v>250</v>
      </c>
      <c r="B100" s="1" t="s">
        <v>8</v>
      </c>
      <c r="C100" s="2" t="s">
        <v>228</v>
      </c>
      <c r="D100" t="str">
        <f t="shared" si="4"/>
        <v>Engagement - North America</v>
      </c>
      <c r="E100" s="2" t="s">
        <v>234</v>
      </c>
      <c r="F100" t="s">
        <v>238</v>
      </c>
      <c r="G100" t="s">
        <v>225</v>
      </c>
    </row>
    <row r="101" spans="1:7" x14ac:dyDescent="0.3">
      <c r="A101" t="s">
        <v>251</v>
      </c>
      <c r="B101" s="1" t="s">
        <v>8</v>
      </c>
      <c r="C101" s="2" t="s">
        <v>228</v>
      </c>
      <c r="D101" t="str">
        <f t="shared" si="4"/>
        <v>Engagement - North America</v>
      </c>
      <c r="E101" s="2" t="s">
        <v>234</v>
      </c>
      <c r="F101" t="s">
        <v>238</v>
      </c>
      <c r="G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Anderson</dc:creator>
  <cp:lastModifiedBy>Joshua Anderson</cp:lastModifiedBy>
  <dcterms:created xsi:type="dcterms:W3CDTF">2026-04-22T22:02:19Z</dcterms:created>
  <dcterms:modified xsi:type="dcterms:W3CDTF">2026-04-27T03:56:59Z</dcterms:modified>
</cp:coreProperties>
</file>